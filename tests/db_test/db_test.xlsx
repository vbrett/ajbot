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\myRepos\ajbot\tests\db_test\"/>
    </mc:Choice>
  </mc:AlternateContent>
  <xr:revisionPtr revIDLastSave="0" documentId="13_ncr:1_{99D271C9-D355-4FD2-B447-0E37EAB61658}" xr6:coauthVersionLast="47" xr6:coauthVersionMax="47" xr10:uidLastSave="{00000000-0000-0000-0000-000000000000}"/>
  <bookViews>
    <workbookView xWindow="-120" yWindow="-120" windowWidth="29040" windowHeight="15720" tabRatio="779" xr2:uid="{86FFD3C6-518C-4801-8351-85DADF0C86EC}"/>
  </bookViews>
  <sheets>
    <sheet name="Suivi" sheetId="1" r:id="rId1"/>
    <sheet name="Annuaire" sheetId="2" r:id="rId2"/>
    <sheet name="Statistiques saisons" sheetId="10" r:id="rId3"/>
    <sheet name="_parametres" sheetId="3" r:id="rId4"/>
    <sheet name="Discord (OLD)" sheetId="4" state="hidden" r:id="rId5"/>
    <sheet name="mariadb_members" sheetId="16" state="hidden" r:id="rId6"/>
  </sheets>
  <definedNames>
    <definedName name="_xlcn.WorksheetConnection_AnnuaireSuivi2.0.xlsxannuaire" hidden="1">annuaire[]</definedName>
    <definedName name="_xlcn.WorksheetConnection_AnnuaireSuivi2.0.xlsxsaisons" hidden="1">saisons[]</definedName>
    <definedName name="_xlcn.WorksheetConnection_AnnuaireSuivi2.0.xlsxsuivi" hidden="1">suivi[]</definedName>
    <definedName name="activites">_parametres!$U$1</definedName>
    <definedName name="cotisant">_parametres!$J$8</definedName>
    <definedName name="cotisant_saison_prec">_parametres!$J$9</definedName>
    <definedName name="cotisation">_parametres!$A$2</definedName>
    <definedName name="ecuyer">_parametres!$E$6</definedName>
    <definedName name="ExternalData_1" localSheetId="4" hidden="1">'Discord (OLD)'!$A$2:$D$124</definedName>
    <definedName name="ExternalData_1" localSheetId="5" hidden="1">mariadb_members!$A$1:$H$165</definedName>
    <definedName name="ExternalData_2" localSheetId="4" hidden="1">'Discord (OLD)'!$B$1</definedName>
    <definedName name="nom_userfriendly">_parametres!$T$1</definedName>
    <definedName name="presence">_parametres!$A$3</definedName>
    <definedName name="saison_debut">'Statistiques saisons'!$B$2</definedName>
    <definedName name="saison_en_cours">'Statistiques saisons'!$A$2</definedName>
    <definedName name="saison_fin">'Statistiques saisons'!$C$2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naissance" name="connaissance" connection="WorksheetConnection_Annuaire &amp; Suivi.xlsx!connaissance"/>
          <x15:modelTable id="suivi" name="suivi" connection="WorksheetConnection_Annuaire &amp; Suivi 2.0.xlsx!suivi"/>
          <x15:modelTable id="saisons" name="saisons" connection="WorksheetConnection_Annuaire &amp; Suivi 2.0.xlsx!saisons"/>
          <x15:modelTable id="annuaire" name="annuaire" connection="WorksheetConnection_Annuaire &amp; Suivi 2.0.xlsx!annuaire"/>
        </x15:modelTables>
        <x15:modelRelationships>
          <x15:modelRelationship fromTable="suivi" fromColumn="membre.id" toTable="annuaire" toColumn="id"/>
          <x15:modelRelationship fromTable="suivi" fromColumn="#support.saison" toTable="saisons" toColumn="nom"/>
          <x15:modelRelationship fromTable="suivi" fromColumn="membre.source_connaissance" toTable="connaissance" toColumn="v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36" i="1"/>
  <c r="B43" i="1"/>
  <c r="B53" i="1"/>
  <c r="B54" i="1"/>
  <c r="B56" i="1"/>
  <c r="B79" i="1"/>
  <c r="B81" i="1"/>
  <c r="B90" i="1"/>
  <c r="B109" i="1"/>
  <c r="B110" i="1"/>
  <c r="B113" i="1"/>
  <c r="B115" i="1"/>
  <c r="B128" i="1"/>
  <c r="B147" i="1"/>
  <c r="B148" i="1"/>
  <c r="B149" i="1"/>
  <c r="B155" i="1"/>
  <c r="B170" i="1"/>
  <c r="B177" i="1"/>
  <c r="B185" i="1"/>
  <c r="B186" i="1"/>
  <c r="B187" i="1"/>
  <c r="P16" i="1"/>
  <c r="P36" i="1"/>
  <c r="P43" i="1"/>
  <c r="P53" i="1"/>
  <c r="P54" i="1"/>
  <c r="P56" i="1"/>
  <c r="P79" i="1"/>
  <c r="P81" i="1"/>
  <c r="P90" i="1"/>
  <c r="P109" i="1"/>
  <c r="P110" i="1"/>
  <c r="P113" i="1"/>
  <c r="P115" i="1"/>
  <c r="P128" i="1"/>
  <c r="P147" i="1"/>
  <c r="P148" i="1"/>
  <c r="P149" i="1"/>
  <c r="P155" i="1"/>
  <c r="P170" i="1"/>
  <c r="P177" i="1"/>
  <c r="P185" i="1"/>
  <c r="P186" i="1"/>
  <c r="P187" i="1"/>
  <c r="AH16" i="1" a="1"/>
  <c r="AH16" i="1"/>
  <c r="C16" i="1" s="1"/>
  <c r="AH36" i="1" a="1"/>
  <c r="AH36" i="1"/>
  <c r="C36" i="1" s="1"/>
  <c r="AH43" i="1" a="1"/>
  <c r="AH43" i="1"/>
  <c r="C43" i="1" s="1"/>
  <c r="AH53" i="1" a="1"/>
  <c r="AH53" i="1"/>
  <c r="C53" i="1" s="1"/>
  <c r="AH54" i="1" a="1"/>
  <c r="AH54" i="1"/>
  <c r="C54" i="1" s="1"/>
  <c r="AH56" i="1" a="1"/>
  <c r="AH56" i="1"/>
  <c r="C56" i="1" s="1"/>
  <c r="AH79" i="1" a="1"/>
  <c r="AH79" i="1"/>
  <c r="C79" i="1" s="1"/>
  <c r="AH81" i="1" a="1"/>
  <c r="AH81" i="1"/>
  <c r="C81" i="1" s="1"/>
  <c r="AH90" i="1" a="1"/>
  <c r="AH90" i="1"/>
  <c r="C90" i="1" s="1"/>
  <c r="AH109" i="1" a="1"/>
  <c r="AH109" i="1"/>
  <c r="C109" i="1" s="1"/>
  <c r="AH110" i="1" a="1"/>
  <c r="AH110" i="1"/>
  <c r="C110" i="1" s="1"/>
  <c r="AH113" i="1" a="1"/>
  <c r="AH113" i="1"/>
  <c r="C113" i="1" s="1"/>
  <c r="AH115" i="1" a="1"/>
  <c r="AH115" i="1"/>
  <c r="C115" i="1" s="1"/>
  <c r="AH128" i="1" a="1"/>
  <c r="AH128" i="1"/>
  <c r="C128" i="1" s="1"/>
  <c r="AH147" i="1" a="1"/>
  <c r="AH147" i="1"/>
  <c r="C147" i="1" s="1"/>
  <c r="AH148" i="1" a="1"/>
  <c r="AH148" i="1"/>
  <c r="C148" i="1" s="1"/>
  <c r="AH149" i="1" a="1"/>
  <c r="AH149" i="1"/>
  <c r="C149" i="1" s="1"/>
  <c r="AH155" i="1" a="1"/>
  <c r="AH155" i="1"/>
  <c r="C155" i="1" s="1"/>
  <c r="AH170" i="1" a="1"/>
  <c r="AH170" i="1"/>
  <c r="C170" i="1" s="1"/>
  <c r="AH177" i="1" a="1"/>
  <c r="AH177" i="1"/>
  <c r="C177" i="1" s="1"/>
  <c r="AH185" i="1" a="1"/>
  <c r="AH185" i="1"/>
  <c r="C185" i="1" s="1"/>
  <c r="AH186" i="1" a="1"/>
  <c r="AH186" i="1"/>
  <c r="C186" i="1" s="1"/>
  <c r="AH187" i="1" a="1"/>
  <c r="AH187" i="1"/>
  <c r="C187" i="1" s="1"/>
  <c r="AI16" i="1"/>
  <c r="AI36" i="1"/>
  <c r="AI43" i="1"/>
  <c r="AI53" i="1"/>
  <c r="AI54" i="1"/>
  <c r="AI56" i="1"/>
  <c r="AI79" i="1"/>
  <c r="AI81" i="1"/>
  <c r="AI90" i="1"/>
  <c r="AI109" i="1"/>
  <c r="AI110" i="1"/>
  <c r="AI113" i="1"/>
  <c r="AI115" i="1"/>
  <c r="AI128" i="1"/>
  <c r="AI147" i="1"/>
  <c r="AI148" i="1"/>
  <c r="AI149" i="1"/>
  <c r="AI155" i="1"/>
  <c r="AI170" i="1"/>
  <c r="AI177" i="1"/>
  <c r="AI185" i="1"/>
  <c r="AI186" i="1"/>
  <c r="AI187" i="1"/>
  <c r="B39" i="1"/>
  <c r="B62" i="1"/>
  <c r="B63" i="1"/>
  <c r="B64" i="1"/>
  <c r="B65" i="1"/>
  <c r="B66" i="1"/>
  <c r="B69" i="1"/>
  <c r="B73" i="1"/>
  <c r="P39" i="1"/>
  <c r="P62" i="1"/>
  <c r="P63" i="1"/>
  <c r="P64" i="1"/>
  <c r="P65" i="1"/>
  <c r="P66" i="1"/>
  <c r="P69" i="1"/>
  <c r="P73" i="1"/>
  <c r="AH39" i="1" a="1"/>
  <c r="AH39" i="1" s="1"/>
  <c r="C39" i="1" s="1"/>
  <c r="AH62" i="1" a="1"/>
  <c r="AH62" i="1" s="1"/>
  <c r="C62" i="1" s="1"/>
  <c r="AH63" i="1" a="1"/>
  <c r="AH63" i="1" s="1"/>
  <c r="C63" i="1" s="1"/>
  <c r="AH64" i="1" a="1"/>
  <c r="AH64" i="1" s="1"/>
  <c r="C64" i="1" s="1"/>
  <c r="AH65" i="1" a="1"/>
  <c r="AH65" i="1" s="1"/>
  <c r="C65" i="1" s="1"/>
  <c r="AH66" i="1" a="1"/>
  <c r="AH66" i="1" s="1"/>
  <c r="C66" i="1" s="1"/>
  <c r="AH69" i="1" a="1"/>
  <c r="AH69" i="1" s="1"/>
  <c r="C69" i="1" s="1"/>
  <c r="AH73" i="1" a="1"/>
  <c r="AH73" i="1" s="1"/>
  <c r="C73" i="1" s="1"/>
  <c r="AI39" i="1"/>
  <c r="AI62" i="1"/>
  <c r="AI63" i="1"/>
  <c r="AI64" i="1"/>
  <c r="AI65" i="1"/>
  <c r="AI66" i="1"/>
  <c r="AI69" i="1"/>
  <c r="AI73" i="1"/>
  <c r="B5" i="1"/>
  <c r="B8" i="1"/>
  <c r="B9" i="1"/>
  <c r="B13" i="1"/>
  <c r="B14" i="1"/>
  <c r="B23" i="1"/>
  <c r="B24" i="1"/>
  <c r="B25" i="1"/>
  <c r="B29" i="1"/>
  <c r="B30" i="1"/>
  <c r="B32" i="1"/>
  <c r="B33" i="1"/>
  <c r="B35" i="1"/>
  <c r="B100" i="1"/>
  <c r="AH5" i="1" a="1"/>
  <c r="AH5" i="1" s="1"/>
  <c r="C5" i="1" s="1"/>
  <c r="AH8" i="1" a="1"/>
  <c r="AH8" i="1" s="1"/>
  <c r="C8" i="1" s="1"/>
  <c r="AH9" i="1" a="1"/>
  <c r="AH9" i="1" s="1"/>
  <c r="C9" i="1" s="1"/>
  <c r="AH13" i="1" a="1"/>
  <c r="AH13" i="1" s="1"/>
  <c r="C13" i="1" s="1"/>
  <c r="AH14" i="1" a="1"/>
  <c r="AH14" i="1" s="1"/>
  <c r="C14" i="1" s="1"/>
  <c r="AH23" i="1" a="1"/>
  <c r="AH23" i="1" s="1"/>
  <c r="C23" i="1" s="1"/>
  <c r="AH24" i="1" a="1"/>
  <c r="AH24" i="1" s="1"/>
  <c r="C24" i="1" s="1"/>
  <c r="AH25" i="1" a="1"/>
  <c r="AH25" i="1" s="1"/>
  <c r="C25" i="1" s="1"/>
  <c r="AH29" i="1" a="1"/>
  <c r="AH29" i="1" s="1"/>
  <c r="C29" i="1" s="1"/>
  <c r="AH30" i="1" a="1"/>
  <c r="AH30" i="1" s="1"/>
  <c r="C30" i="1" s="1"/>
  <c r="AH32" i="1" a="1"/>
  <c r="AH32" i="1" s="1"/>
  <c r="C32" i="1" s="1"/>
  <c r="AH33" i="1" a="1"/>
  <c r="AH33" i="1" s="1"/>
  <c r="C33" i="1" s="1"/>
  <c r="AH35" i="1" a="1"/>
  <c r="AH35" i="1" s="1"/>
  <c r="C35" i="1" s="1"/>
  <c r="AH100" i="1" a="1"/>
  <c r="AH100" i="1" s="1"/>
  <c r="C100" i="1" s="1"/>
  <c r="AI5" i="1"/>
  <c r="AI8" i="1"/>
  <c r="AI9" i="1"/>
  <c r="AI13" i="1"/>
  <c r="AI14" i="1"/>
  <c r="AI23" i="1"/>
  <c r="AI24" i="1"/>
  <c r="AI25" i="1"/>
  <c r="AI29" i="1"/>
  <c r="AI30" i="1"/>
  <c r="AI32" i="1"/>
  <c r="AI33" i="1"/>
  <c r="AI35" i="1"/>
  <c r="AI100" i="1"/>
  <c r="B160" i="1"/>
  <c r="AH160" i="1" a="1"/>
  <c r="AH160" i="1" s="1"/>
  <c r="C160" i="1" s="1"/>
  <c r="AI160" i="1"/>
  <c r="B6" i="1"/>
  <c r="B7" i="1"/>
  <c r="B10" i="1"/>
  <c r="B11" i="1"/>
  <c r="B12" i="1"/>
  <c r="B19" i="1"/>
  <c r="B21" i="1"/>
  <c r="B22" i="1"/>
  <c r="B27" i="1"/>
  <c r="B28" i="1"/>
  <c r="AH6" i="1" a="1"/>
  <c r="AH6" i="1" s="1"/>
  <c r="C6" i="1" s="1"/>
  <c r="AH7" i="1" a="1"/>
  <c r="AH7" i="1" s="1"/>
  <c r="C7" i="1" s="1"/>
  <c r="AH10" i="1" a="1"/>
  <c r="AH10" i="1" s="1"/>
  <c r="C10" i="1" s="1"/>
  <c r="AH11" i="1" a="1"/>
  <c r="AH11" i="1" s="1"/>
  <c r="C11" i="1" s="1"/>
  <c r="AH12" i="1" a="1"/>
  <c r="AH12" i="1" s="1"/>
  <c r="C12" i="1" s="1"/>
  <c r="AH19" i="1" a="1"/>
  <c r="AH19" i="1" s="1"/>
  <c r="C19" i="1" s="1"/>
  <c r="AH21" i="1" a="1"/>
  <c r="AH21" i="1" s="1"/>
  <c r="C21" i="1" s="1"/>
  <c r="AH22" i="1" a="1"/>
  <c r="AH22" i="1" s="1"/>
  <c r="C22" i="1" s="1"/>
  <c r="AH27" i="1" a="1"/>
  <c r="AH27" i="1" s="1"/>
  <c r="C27" i="1" s="1"/>
  <c r="AH28" i="1" a="1"/>
  <c r="AH28" i="1" s="1"/>
  <c r="C28" i="1" s="1"/>
  <c r="AI6" i="1"/>
  <c r="AI7" i="1"/>
  <c r="AI10" i="1"/>
  <c r="AI11" i="1"/>
  <c r="AI12" i="1"/>
  <c r="AI19" i="1"/>
  <c r="AI21" i="1"/>
  <c r="AI22" i="1"/>
  <c r="AI27" i="1"/>
  <c r="AI28" i="1"/>
  <c r="B184" i="1"/>
  <c r="AH184" i="1" a="1"/>
  <c r="AH184" i="1" s="1"/>
  <c r="C184" i="1" s="1"/>
  <c r="AI184" i="1"/>
  <c r="B181" i="1"/>
  <c r="AH181" i="1" a="1"/>
  <c r="AH181" i="1" s="1"/>
  <c r="C181" i="1" s="1"/>
  <c r="AI181" i="1"/>
  <c r="B179" i="1"/>
  <c r="AH179" i="1" a="1"/>
  <c r="AH179" i="1" s="1"/>
  <c r="C179" i="1" s="1"/>
  <c r="AI179" i="1"/>
  <c r="B175" i="1"/>
  <c r="AH175" i="1" a="1"/>
  <c r="AH175" i="1" s="1"/>
  <c r="C175" i="1" s="1"/>
  <c r="AI175" i="1"/>
  <c r="B169" i="1"/>
  <c r="AH169" i="1" a="1"/>
  <c r="AH169" i="1" s="1"/>
  <c r="C169" i="1" s="1"/>
  <c r="AI169" i="1"/>
  <c r="B166" i="1"/>
  <c r="AH166" i="1" a="1"/>
  <c r="AH166" i="1" s="1"/>
  <c r="C166" i="1" s="1"/>
  <c r="AI166" i="1"/>
  <c r="B164" i="1"/>
  <c r="AH164" i="1" a="1"/>
  <c r="AH164" i="1" s="1"/>
  <c r="C164" i="1" s="1"/>
  <c r="AI164" i="1"/>
  <c r="B159" i="1"/>
  <c r="AH159" i="1" a="1"/>
  <c r="AH159" i="1" s="1"/>
  <c r="C159" i="1" s="1"/>
  <c r="AI159" i="1"/>
  <c r="B153" i="1"/>
  <c r="B154" i="1"/>
  <c r="AH153" i="1" a="1"/>
  <c r="AH153" i="1" s="1"/>
  <c r="C153" i="1" s="1"/>
  <c r="AH154" i="1" a="1"/>
  <c r="AH154" i="1" s="1"/>
  <c r="C154" i="1" s="1"/>
  <c r="AI153" i="1"/>
  <c r="AI154" i="1"/>
  <c r="B150" i="1"/>
  <c r="AH150" i="1" a="1"/>
  <c r="AH150" i="1" s="1"/>
  <c r="C150" i="1" s="1"/>
  <c r="AI150" i="1"/>
  <c r="B146" i="1"/>
  <c r="AH146" i="1" a="1"/>
  <c r="AH146" i="1" s="1"/>
  <c r="C146" i="1" s="1"/>
  <c r="AI146" i="1"/>
  <c r="B141" i="1"/>
  <c r="AH141" i="1" a="1"/>
  <c r="AH141" i="1" s="1"/>
  <c r="C141" i="1" s="1"/>
  <c r="AI141" i="1"/>
  <c r="B139" i="1"/>
  <c r="AH139" i="1" a="1"/>
  <c r="AH139" i="1" s="1"/>
  <c r="C139" i="1" s="1"/>
  <c r="AI139" i="1"/>
  <c r="B132" i="1"/>
  <c r="AH132" i="1" a="1"/>
  <c r="AH132" i="1" s="1"/>
  <c r="C132" i="1" s="1"/>
  <c r="AI132" i="1"/>
  <c r="B130" i="1"/>
  <c r="AH130" i="1" a="1"/>
  <c r="AH130" i="1" s="1"/>
  <c r="C130" i="1" s="1"/>
  <c r="AI130" i="1"/>
  <c r="B127" i="1"/>
  <c r="AH127" i="1" a="1"/>
  <c r="AH127" i="1" s="1"/>
  <c r="C127" i="1" s="1"/>
  <c r="AI127" i="1"/>
  <c r="B124" i="1"/>
  <c r="AH124" i="1" a="1"/>
  <c r="AH124" i="1" s="1"/>
  <c r="C124" i="1" s="1"/>
  <c r="AI124" i="1"/>
  <c r="B120" i="1"/>
  <c r="AH120" i="1" a="1"/>
  <c r="AH120" i="1" s="1"/>
  <c r="C120" i="1" s="1"/>
  <c r="AI120" i="1"/>
  <c r="B119" i="1"/>
  <c r="AH119" i="1" a="1"/>
  <c r="AH119" i="1" s="1"/>
  <c r="C119" i="1" s="1"/>
  <c r="AI119" i="1"/>
  <c r="B112" i="1"/>
  <c r="AH112" i="1" a="1"/>
  <c r="AH112" i="1" s="1"/>
  <c r="C112" i="1" s="1"/>
  <c r="AI112" i="1"/>
  <c r="B108" i="1"/>
  <c r="AH108" i="1" a="1"/>
  <c r="AH108" i="1" s="1"/>
  <c r="C108" i="1" s="1"/>
  <c r="AI108" i="1"/>
  <c r="B103" i="1"/>
  <c r="AH103" i="1" a="1"/>
  <c r="AH103" i="1" s="1"/>
  <c r="C103" i="1" s="1"/>
  <c r="AI103" i="1"/>
  <c r="B99" i="1"/>
  <c r="AH99" i="1" a="1"/>
  <c r="AH99" i="1" s="1"/>
  <c r="C99" i="1" s="1"/>
  <c r="AI99" i="1"/>
  <c r="B97" i="1"/>
  <c r="AH97" i="1" a="1"/>
  <c r="AH97" i="1" s="1"/>
  <c r="C97" i="1" s="1"/>
  <c r="AI97" i="1"/>
  <c r="B94" i="1"/>
  <c r="B95" i="1"/>
  <c r="AH94" i="1" a="1"/>
  <c r="AH94" i="1" s="1"/>
  <c r="C94" i="1" s="1"/>
  <c r="AH95" i="1" a="1"/>
  <c r="AH95" i="1" s="1"/>
  <c r="C95" i="1" s="1"/>
  <c r="AI94" i="1"/>
  <c r="AI95" i="1"/>
  <c r="B89" i="1"/>
  <c r="AH89" i="1" a="1"/>
  <c r="AH89" i="1" s="1"/>
  <c r="C89" i="1" s="1"/>
  <c r="AI89" i="1"/>
  <c r="B86" i="1"/>
  <c r="AH86" i="1" a="1"/>
  <c r="AH86" i="1" s="1"/>
  <c r="C86" i="1" s="1"/>
  <c r="AI86" i="1"/>
  <c r="B4" i="1"/>
  <c r="AH4" i="1" a="1"/>
  <c r="AH4" i="1" s="1"/>
  <c r="C4" i="1" s="1"/>
  <c r="AI4" i="1"/>
  <c r="B183" i="1"/>
  <c r="AH183" i="1" a="1"/>
  <c r="AH183" i="1" s="1"/>
  <c r="C183" i="1" s="1"/>
  <c r="AI183" i="1"/>
  <c r="B182" i="1"/>
  <c r="AH182" i="1" a="1"/>
  <c r="AH182" i="1" s="1"/>
  <c r="C182" i="1" s="1"/>
  <c r="AI182" i="1"/>
  <c r="B180" i="1"/>
  <c r="AH180" i="1" a="1"/>
  <c r="AH180" i="1" s="1"/>
  <c r="C180" i="1" s="1"/>
  <c r="AI180" i="1"/>
  <c r="B178" i="1"/>
  <c r="AH178" i="1" a="1"/>
  <c r="AH178" i="1" s="1"/>
  <c r="C178" i="1" s="1"/>
  <c r="AI178" i="1"/>
  <c r="B176" i="1"/>
  <c r="AH176" i="1" a="1"/>
  <c r="AH176" i="1" s="1"/>
  <c r="C176" i="1" s="1"/>
  <c r="AI176" i="1"/>
  <c r="B174" i="1"/>
  <c r="AH174" i="1" a="1"/>
  <c r="AH174" i="1" s="1"/>
  <c r="C174" i="1" s="1"/>
  <c r="AI174" i="1"/>
  <c r="B173" i="1"/>
  <c r="AH173" i="1" a="1"/>
  <c r="AH173" i="1" s="1"/>
  <c r="C173" i="1" s="1"/>
  <c r="AI173" i="1"/>
  <c r="B172" i="1"/>
  <c r="AH172" i="1" a="1"/>
  <c r="AH172" i="1" s="1"/>
  <c r="C172" i="1" s="1"/>
  <c r="AI172" i="1"/>
  <c r="B171" i="1"/>
  <c r="AH171" i="1" a="1"/>
  <c r="AH171" i="1" s="1"/>
  <c r="C171" i="1" s="1"/>
  <c r="AI171" i="1"/>
  <c r="B168" i="1"/>
  <c r="AH168" i="1" a="1"/>
  <c r="AH168" i="1" s="1"/>
  <c r="C168" i="1" s="1"/>
  <c r="AI168" i="1"/>
  <c r="B167" i="1"/>
  <c r="AH167" i="1" a="1"/>
  <c r="AH167" i="1" s="1"/>
  <c r="C167" i="1" s="1"/>
  <c r="AI167" i="1"/>
  <c r="B165" i="1"/>
  <c r="AH165" i="1" a="1"/>
  <c r="AH165" i="1" s="1"/>
  <c r="C165" i="1" s="1"/>
  <c r="AI165" i="1"/>
  <c r="B163" i="1"/>
  <c r="AH163" i="1" a="1"/>
  <c r="AH163" i="1" s="1"/>
  <c r="C163" i="1" s="1"/>
  <c r="AI163" i="1"/>
  <c r="B162" i="1"/>
  <c r="AH162" i="1" a="1"/>
  <c r="AH162" i="1" s="1"/>
  <c r="C162" i="1" s="1"/>
  <c r="AI162" i="1"/>
  <c r="B161" i="1"/>
  <c r="AH161" i="1" a="1"/>
  <c r="AH161" i="1" s="1"/>
  <c r="C161" i="1" s="1"/>
  <c r="AI161" i="1"/>
  <c r="B158" i="1"/>
  <c r="AH158" i="1" a="1"/>
  <c r="AH158" i="1" s="1"/>
  <c r="C158" i="1" s="1"/>
  <c r="AI158" i="1"/>
  <c r="B157" i="1"/>
  <c r="AH157" i="1" a="1"/>
  <c r="AH157" i="1" s="1"/>
  <c r="C157" i="1" s="1"/>
  <c r="AI157" i="1"/>
  <c r="B156" i="1"/>
  <c r="AH156" i="1" a="1"/>
  <c r="AH156" i="1" s="1"/>
  <c r="C156" i="1" s="1"/>
  <c r="AI156" i="1"/>
  <c r="B152" i="1"/>
  <c r="AH152" i="1" a="1"/>
  <c r="AH152" i="1" s="1"/>
  <c r="C152" i="1" s="1"/>
  <c r="AI152" i="1"/>
  <c r="B151" i="1"/>
  <c r="AH151" i="1" a="1"/>
  <c r="AH151" i="1" s="1"/>
  <c r="C151" i="1" s="1"/>
  <c r="AI151" i="1"/>
  <c r="B145" i="1"/>
  <c r="AH145" i="1" a="1"/>
  <c r="AH145" i="1" s="1"/>
  <c r="C145" i="1" s="1"/>
  <c r="AI145" i="1"/>
  <c r="B144" i="1"/>
  <c r="AH144" i="1" a="1"/>
  <c r="AH144" i="1" s="1"/>
  <c r="C144" i="1" s="1"/>
  <c r="AI144" i="1"/>
  <c r="B143" i="1"/>
  <c r="AH143" i="1" a="1"/>
  <c r="AH143" i="1" s="1"/>
  <c r="C143" i="1" s="1"/>
  <c r="AI143" i="1"/>
  <c r="B142" i="1"/>
  <c r="AH142" i="1" a="1"/>
  <c r="AH142" i="1" s="1"/>
  <c r="C142" i="1" s="1"/>
  <c r="AI142" i="1"/>
  <c r="B140" i="1"/>
  <c r="AH140" i="1" a="1"/>
  <c r="AH140" i="1" s="1"/>
  <c r="C140" i="1" s="1"/>
  <c r="AI140" i="1"/>
  <c r="B138" i="1"/>
  <c r="AH138" i="1" a="1"/>
  <c r="AH138" i="1" s="1"/>
  <c r="C138" i="1" s="1"/>
  <c r="AI138" i="1"/>
  <c r="B137" i="1"/>
  <c r="AH137" i="1" a="1"/>
  <c r="AH137" i="1" s="1"/>
  <c r="C137" i="1" s="1"/>
  <c r="AI137" i="1"/>
  <c r="B136" i="1"/>
  <c r="AH136" i="1" a="1"/>
  <c r="AH136" i="1" s="1"/>
  <c r="C136" i="1" s="1"/>
  <c r="AI136" i="1"/>
  <c r="B135" i="1"/>
  <c r="AH135" i="1" a="1"/>
  <c r="AH135" i="1" s="1"/>
  <c r="C135" i="1" s="1"/>
  <c r="AI135" i="1"/>
  <c r="B134" i="1"/>
  <c r="AH134" i="1" a="1"/>
  <c r="AH134" i="1" s="1"/>
  <c r="C134" i="1" s="1"/>
  <c r="AI134" i="1"/>
  <c r="B133" i="1"/>
  <c r="AH133" i="1" a="1"/>
  <c r="AH133" i="1" s="1"/>
  <c r="C133" i="1" s="1"/>
  <c r="AI133" i="1"/>
  <c r="B131" i="1"/>
  <c r="AH131" i="1" a="1"/>
  <c r="AH131" i="1" s="1"/>
  <c r="C131" i="1" s="1"/>
  <c r="AI131" i="1"/>
  <c r="B129" i="1"/>
  <c r="AH129" i="1" a="1"/>
  <c r="AH129" i="1" s="1"/>
  <c r="C129" i="1" s="1"/>
  <c r="AI129" i="1"/>
  <c r="B126" i="1"/>
  <c r="AH126" i="1" a="1"/>
  <c r="AH126" i="1" s="1"/>
  <c r="C126" i="1" s="1"/>
  <c r="AI126" i="1"/>
  <c r="B125" i="1"/>
  <c r="AH125" i="1" a="1"/>
  <c r="AH125" i="1" s="1"/>
  <c r="C125" i="1" s="1"/>
  <c r="AI125" i="1"/>
  <c r="B123" i="1"/>
  <c r="AH123" i="1" a="1"/>
  <c r="AH123" i="1" s="1"/>
  <c r="C123" i="1" s="1"/>
  <c r="AI123" i="1"/>
  <c r="B122" i="1"/>
  <c r="AH122" i="1" a="1"/>
  <c r="AH122" i="1" s="1"/>
  <c r="C122" i="1" s="1"/>
  <c r="AI122" i="1"/>
  <c r="B121" i="1"/>
  <c r="AH121" i="1" a="1"/>
  <c r="AH121" i="1" s="1"/>
  <c r="C121" i="1" s="1"/>
  <c r="AI121" i="1"/>
  <c r="B118" i="1"/>
  <c r="AH118" i="1" a="1"/>
  <c r="AH118" i="1" s="1"/>
  <c r="C118" i="1" s="1"/>
  <c r="AI118" i="1"/>
  <c r="B117" i="1"/>
  <c r="AH117" i="1" a="1"/>
  <c r="AH117" i="1" s="1"/>
  <c r="C117" i="1" s="1"/>
  <c r="AI117" i="1"/>
  <c r="B116" i="1"/>
  <c r="AH116" i="1" a="1"/>
  <c r="AH116" i="1" s="1"/>
  <c r="C116" i="1" s="1"/>
  <c r="AI116" i="1"/>
  <c r="B114" i="1"/>
  <c r="AH114" i="1" a="1"/>
  <c r="AH114" i="1" s="1"/>
  <c r="C114" i="1" s="1"/>
  <c r="AI114" i="1"/>
  <c r="B111" i="1"/>
  <c r="AH111" i="1" a="1"/>
  <c r="AH111" i="1" s="1"/>
  <c r="C111" i="1" s="1"/>
  <c r="AI111" i="1"/>
  <c r="B107" i="1"/>
  <c r="AH107" i="1" a="1"/>
  <c r="AH107" i="1" s="1"/>
  <c r="C107" i="1" s="1"/>
  <c r="AI107" i="1"/>
  <c r="B106" i="1"/>
  <c r="AH106" i="1" a="1"/>
  <c r="AH106" i="1" s="1"/>
  <c r="C106" i="1" s="1"/>
  <c r="AI106" i="1"/>
  <c r="B105" i="1"/>
  <c r="AH105" i="1" a="1"/>
  <c r="AH105" i="1" s="1"/>
  <c r="C105" i="1" s="1"/>
  <c r="AI105" i="1"/>
  <c r="B104" i="1"/>
  <c r="AH104" i="1" a="1"/>
  <c r="AH104" i="1" s="1"/>
  <c r="C104" i="1" s="1"/>
  <c r="AI104" i="1"/>
  <c r="B102" i="1"/>
  <c r="AH102" i="1" a="1"/>
  <c r="AH102" i="1" s="1"/>
  <c r="C102" i="1" s="1"/>
  <c r="AI102" i="1"/>
  <c r="B101" i="1"/>
  <c r="AH101" i="1" a="1"/>
  <c r="AH101" i="1" s="1"/>
  <c r="C101" i="1" s="1"/>
  <c r="AI101" i="1"/>
  <c r="B98" i="1"/>
  <c r="AH98" i="1" a="1"/>
  <c r="AH98" i="1" s="1"/>
  <c r="C98" i="1" s="1"/>
  <c r="AI98" i="1"/>
  <c r="B96" i="1"/>
  <c r="AH96" i="1" a="1"/>
  <c r="AH96" i="1" s="1"/>
  <c r="C96" i="1" s="1"/>
  <c r="AI96" i="1"/>
  <c r="B93" i="1"/>
  <c r="AH93" i="1" a="1"/>
  <c r="AH93" i="1" s="1"/>
  <c r="C93" i="1" s="1"/>
  <c r="AI93" i="1"/>
  <c r="B92" i="1"/>
  <c r="AH92" i="1" a="1"/>
  <c r="AH92" i="1" s="1"/>
  <c r="C92" i="1" s="1"/>
  <c r="AI92" i="1"/>
  <c r="B91" i="1"/>
  <c r="AH91" i="1" a="1"/>
  <c r="AH91" i="1" s="1"/>
  <c r="C91" i="1" s="1"/>
  <c r="AI91" i="1"/>
  <c r="B88" i="1"/>
  <c r="AH88" i="1" a="1"/>
  <c r="AH88" i="1" s="1"/>
  <c r="C88" i="1" s="1"/>
  <c r="AI88" i="1"/>
  <c r="B87" i="1"/>
  <c r="AH87" i="1" a="1"/>
  <c r="AH87" i="1" s="1"/>
  <c r="C87" i="1" s="1"/>
  <c r="AI87" i="1"/>
  <c r="B85" i="1"/>
  <c r="AH85" i="1" a="1"/>
  <c r="AH85" i="1" s="1"/>
  <c r="C85" i="1" s="1"/>
  <c r="AI85" i="1"/>
  <c r="B84" i="1"/>
  <c r="AH84" i="1" a="1"/>
  <c r="AH84" i="1" s="1"/>
  <c r="C84" i="1" s="1"/>
  <c r="AI84" i="1"/>
  <c r="B82" i="1"/>
  <c r="B83" i="1"/>
  <c r="AH82" i="1" a="1"/>
  <c r="AH82" i="1" s="1"/>
  <c r="C82" i="1" s="1"/>
  <c r="AH83" i="1" a="1"/>
  <c r="AH83" i="1" s="1"/>
  <c r="C83" i="1" s="1"/>
  <c r="AI82" i="1"/>
  <c r="AI83" i="1"/>
  <c r="B80" i="1"/>
  <c r="AH80" i="1" a="1"/>
  <c r="AH80" i="1" s="1"/>
  <c r="C80" i="1" s="1"/>
  <c r="AI80" i="1"/>
  <c r="B78" i="1"/>
  <c r="AH78" i="1" a="1"/>
  <c r="AH78" i="1" s="1"/>
  <c r="C78" i="1" s="1"/>
  <c r="AI78" i="1"/>
  <c r="B77" i="1"/>
  <c r="AH77" i="1" a="1"/>
  <c r="AH77" i="1" s="1"/>
  <c r="C77" i="1" s="1"/>
  <c r="AI77" i="1"/>
  <c r="B76" i="1"/>
  <c r="AH76" i="1" a="1"/>
  <c r="AH76" i="1" s="1"/>
  <c r="C76" i="1" s="1"/>
  <c r="AI76" i="1"/>
  <c r="B75" i="1"/>
  <c r="AH75" i="1" a="1"/>
  <c r="AH75" i="1" s="1"/>
  <c r="C75" i="1" s="1"/>
  <c r="AI75" i="1"/>
  <c r="B74" i="1"/>
  <c r="AH74" i="1" a="1"/>
  <c r="AH74" i="1" s="1"/>
  <c r="C74" i="1" s="1"/>
  <c r="AI74" i="1"/>
  <c r="B72" i="1"/>
  <c r="AH72" i="1" a="1"/>
  <c r="AH72" i="1" s="1"/>
  <c r="C72" i="1" s="1"/>
  <c r="AI72" i="1"/>
  <c r="B71" i="1"/>
  <c r="AH71" i="1" a="1"/>
  <c r="AH71" i="1" s="1"/>
  <c r="C71" i="1" s="1"/>
  <c r="AI71" i="1"/>
  <c r="B70" i="1"/>
  <c r="AH70" i="1" a="1"/>
  <c r="AH70" i="1" s="1"/>
  <c r="C70" i="1" s="1"/>
  <c r="AI70" i="1"/>
  <c r="B68" i="1"/>
  <c r="AH68" i="1" a="1"/>
  <c r="AH68" i="1" s="1"/>
  <c r="C68" i="1" s="1"/>
  <c r="AI68" i="1"/>
  <c r="B67" i="1"/>
  <c r="AH67" i="1" a="1"/>
  <c r="AH67" i="1" s="1"/>
  <c r="C67" i="1" s="1"/>
  <c r="AI67" i="1"/>
  <c r="B61" i="1"/>
  <c r="AH61" i="1" a="1"/>
  <c r="AH61" i="1" s="1"/>
  <c r="C61" i="1" s="1"/>
  <c r="AI61" i="1"/>
  <c r="B60" i="1"/>
  <c r="AH60" i="1" a="1"/>
  <c r="AH60" i="1" s="1"/>
  <c r="C60" i="1" s="1"/>
  <c r="AI60" i="1"/>
  <c r="B59" i="1"/>
  <c r="AH59" i="1" a="1"/>
  <c r="AH59" i="1" s="1"/>
  <c r="C59" i="1" s="1"/>
  <c r="AI59" i="1"/>
  <c r="B58" i="1"/>
  <c r="AH58" i="1" a="1"/>
  <c r="AH58" i="1" s="1"/>
  <c r="C58" i="1" s="1"/>
  <c r="AI58" i="1"/>
  <c r="B57" i="1"/>
  <c r="AH57" i="1" a="1"/>
  <c r="AH57" i="1" s="1"/>
  <c r="C57" i="1" s="1"/>
  <c r="AI57" i="1"/>
  <c r="B55" i="1"/>
  <c r="AH55" i="1" a="1"/>
  <c r="AH55" i="1" s="1"/>
  <c r="C55" i="1" s="1"/>
  <c r="AI55" i="1"/>
  <c r="B52" i="1"/>
  <c r="AH52" i="1" a="1"/>
  <c r="AH52" i="1" s="1"/>
  <c r="C52" i="1" s="1"/>
  <c r="AI52" i="1"/>
  <c r="B51" i="1"/>
  <c r="AH51" i="1" a="1"/>
  <c r="AH51" i="1" s="1"/>
  <c r="C51" i="1" s="1"/>
  <c r="AI51" i="1"/>
  <c r="B50" i="1"/>
  <c r="AH50" i="1" a="1"/>
  <c r="AH50" i="1" s="1"/>
  <c r="C50" i="1" s="1"/>
  <c r="AI50" i="1"/>
  <c r="B49" i="1"/>
  <c r="AH49" i="1" a="1"/>
  <c r="AH49" i="1" s="1"/>
  <c r="C49" i="1" s="1"/>
  <c r="AI49" i="1"/>
  <c r="B48" i="1"/>
  <c r="AH48" i="1" a="1"/>
  <c r="AH48" i="1" s="1"/>
  <c r="C48" i="1" s="1"/>
  <c r="AI48" i="1"/>
  <c r="B47" i="1"/>
  <c r="AH47" i="1" a="1"/>
  <c r="AH47" i="1" s="1"/>
  <c r="C47" i="1" s="1"/>
  <c r="AI47" i="1"/>
  <c r="B46" i="1"/>
  <c r="AH46" i="1" a="1"/>
  <c r="AH46" i="1" s="1"/>
  <c r="C46" i="1" s="1"/>
  <c r="AI46" i="1"/>
  <c r="B45" i="1"/>
  <c r="AH45" i="1" a="1"/>
  <c r="AH45" i="1" s="1"/>
  <c r="C45" i="1" s="1"/>
  <c r="AI45" i="1"/>
  <c r="B44" i="1"/>
  <c r="AH44" i="1" a="1"/>
  <c r="AH44" i="1" s="1"/>
  <c r="C44" i="1" s="1"/>
  <c r="AI44" i="1"/>
  <c r="B42" i="1"/>
  <c r="AH42" i="1" a="1"/>
  <c r="AH42" i="1" s="1"/>
  <c r="C42" i="1" s="1"/>
  <c r="AI42" i="1"/>
  <c r="B41" i="1"/>
  <c r="AH41" i="1" a="1"/>
  <c r="AH41" i="1" s="1"/>
  <c r="C41" i="1" s="1"/>
  <c r="AI41" i="1"/>
  <c r="B40" i="1"/>
  <c r="AH40" i="1" a="1"/>
  <c r="AH40" i="1" s="1"/>
  <c r="C40" i="1" s="1"/>
  <c r="AI40" i="1"/>
  <c r="B38" i="1"/>
  <c r="AH38" i="1" a="1"/>
  <c r="AH38" i="1" s="1"/>
  <c r="C38" i="1" s="1"/>
  <c r="AI38" i="1"/>
  <c r="B37" i="1"/>
  <c r="AH37" i="1" a="1"/>
  <c r="AH37" i="1" s="1"/>
  <c r="C37" i="1" s="1"/>
  <c r="AI37" i="1"/>
  <c r="B34" i="1"/>
  <c r="AH34" i="1" a="1"/>
  <c r="AH34" i="1" s="1"/>
  <c r="C34" i="1" s="1"/>
  <c r="AI34" i="1"/>
  <c r="B31" i="1"/>
  <c r="AH31" i="1" a="1"/>
  <c r="AH31" i="1" s="1"/>
  <c r="C31" i="1" s="1"/>
  <c r="AI31" i="1"/>
  <c r="B26" i="1"/>
  <c r="AH26" i="1" a="1"/>
  <c r="AH26" i="1" s="1"/>
  <c r="C26" i="1" s="1"/>
  <c r="AI26" i="1"/>
  <c r="B20" i="1"/>
  <c r="AH20" i="1" a="1"/>
  <c r="AH20" i="1" s="1"/>
  <c r="C20" i="1" s="1"/>
  <c r="AI20" i="1"/>
  <c r="B18" i="1"/>
  <c r="AH18" i="1" a="1"/>
  <c r="AH18" i="1" s="1"/>
  <c r="C18" i="1" s="1"/>
  <c r="AI18" i="1"/>
  <c r="B17" i="1"/>
  <c r="AH17" i="1" a="1"/>
  <c r="AH17" i="1" s="1"/>
  <c r="C17" i="1" s="1"/>
  <c r="AI17" i="1"/>
  <c r="B15" i="1"/>
  <c r="AH15" i="1" a="1"/>
  <c r="AH15" i="1" s="1"/>
  <c r="C15" i="1" s="1"/>
  <c r="AI15" i="1"/>
  <c r="I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J2" i="16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K2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4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L2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4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6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F14" i="4"/>
  <c r="F23" i="4"/>
  <c r="F39" i="4"/>
  <c r="F40" i="4"/>
  <c r="F47" i="4"/>
  <c r="F58" i="4"/>
  <c r="G58" i="4" s="1"/>
  <c r="H58" i="4" s="1"/>
  <c r="F70" i="4"/>
  <c r="F71" i="4"/>
  <c r="F99" i="4"/>
  <c r="F123" i="4"/>
  <c r="G123" i="4" s="1"/>
  <c r="H123" i="4" s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F118" i="4"/>
  <c r="F11" i="2" a="1"/>
  <c r="F11" i="2" s="1"/>
  <c r="F112" i="4"/>
  <c r="B2" i="10"/>
  <c r="C2" i="10"/>
  <c r="F7" i="4"/>
  <c r="F10" i="4"/>
  <c r="F18" i="4"/>
  <c r="F20" i="4"/>
  <c r="G20" i="4" s="1"/>
  <c r="H20" i="4" s="1"/>
  <c r="F28" i="4"/>
  <c r="F30" i="4"/>
  <c r="F31" i="4"/>
  <c r="G31" i="4" s="1"/>
  <c r="H31" i="4" s="1"/>
  <c r="F35" i="4"/>
  <c r="F36" i="4"/>
  <c r="G36" i="4" s="1"/>
  <c r="H36" i="4" s="1"/>
  <c r="F38" i="4"/>
  <c r="F41" i="4"/>
  <c r="F43" i="4"/>
  <c r="F45" i="4"/>
  <c r="F46" i="4"/>
  <c r="F49" i="4"/>
  <c r="F48" i="4"/>
  <c r="F54" i="4"/>
  <c r="F56" i="4"/>
  <c r="G56" i="4" s="1"/>
  <c r="H56" i="4" s="1"/>
  <c r="F59" i="4"/>
  <c r="F73" i="4"/>
  <c r="F72" i="4"/>
  <c r="G72" i="4" s="1"/>
  <c r="H72" i="4" s="1"/>
  <c r="F75" i="4"/>
  <c r="F84" i="4"/>
  <c r="F91" i="4"/>
  <c r="F96" i="4"/>
  <c r="F97" i="4"/>
  <c r="F98" i="4"/>
  <c r="F102" i="4"/>
  <c r="F104" i="4"/>
  <c r="G104" i="4" s="1"/>
  <c r="H104" i="4" s="1"/>
  <c r="F105" i="4"/>
  <c r="G105" i="4" s="1"/>
  <c r="H105" i="4" s="1"/>
  <c r="F109" i="4"/>
  <c r="F110" i="4"/>
  <c r="H1" i="1" a="1"/>
  <c r="H2" i="1" a="1"/>
  <c r="H2" i="1" s="1"/>
  <c r="H1" i="1" l="1"/>
  <c r="G96" i="4"/>
  <c r="H96" i="4" s="1"/>
  <c r="G48" i="4"/>
  <c r="H48" i="4" s="1"/>
  <c r="G49" i="4"/>
  <c r="H49" i="4" s="1"/>
  <c r="G84" i="4"/>
  <c r="H84" i="4" s="1"/>
  <c r="G10" i="4"/>
  <c r="H10" i="4" s="1"/>
  <c r="G91" i="4"/>
  <c r="H91" i="4" s="1"/>
  <c r="G46" i="4"/>
  <c r="H46" i="4" s="1"/>
  <c r="G45" i="4"/>
  <c r="H45" i="4" s="1"/>
  <c r="G43" i="4"/>
  <c r="H43" i="4" s="1"/>
  <c r="G7" i="4"/>
  <c r="H7" i="4" s="1"/>
  <c r="G99" i="4"/>
  <c r="H99" i="4" s="1"/>
  <c r="G118" i="4"/>
  <c r="H118" i="4" s="1"/>
  <c r="G70" i="4"/>
  <c r="H70" i="4" s="1"/>
  <c r="G41" i="4"/>
  <c r="H41" i="4" s="1"/>
  <c r="G30" i="4"/>
  <c r="H30" i="4" s="1"/>
  <c r="G112" i="4"/>
  <c r="H112" i="4" s="1"/>
  <c r="G54" i="4"/>
  <c r="H54" i="4" s="1"/>
  <c r="G40" i="4"/>
  <c r="H40" i="4" s="1"/>
  <c r="G75" i="4"/>
  <c r="H75" i="4" s="1"/>
  <c r="G28" i="4"/>
  <c r="H28" i="4" s="1"/>
  <c r="G102" i="4"/>
  <c r="H102" i="4" s="1"/>
  <c r="G18" i="4"/>
  <c r="H18" i="4" s="1"/>
  <c r="G39" i="4"/>
  <c r="H39" i="4" s="1"/>
  <c r="G73" i="4"/>
  <c r="H73" i="4" s="1"/>
  <c r="G38" i="4"/>
  <c r="H38" i="4" s="1"/>
  <c r="G109" i="4"/>
  <c r="H109" i="4" s="1"/>
  <c r="G110" i="4"/>
  <c r="H110" i="4" s="1"/>
  <c r="G14" i="4"/>
  <c r="H14" i="4" s="1"/>
  <c r="G98" i="4"/>
  <c r="H98" i="4" s="1"/>
  <c r="G97" i="4"/>
  <c r="H97" i="4" s="1"/>
  <c r="G71" i="4"/>
  <c r="H71" i="4" s="1"/>
  <c r="G59" i="4"/>
  <c r="H59" i="4" s="1"/>
  <c r="G47" i="4"/>
  <c r="H47" i="4" s="1"/>
  <c r="G35" i="4"/>
  <c r="H35" i="4" s="1"/>
  <c r="G23" i="4"/>
  <c r="H23" i="4" s="1"/>
  <c r="Y5" i="2" a="1"/>
  <c r="Y5" i="2" s="1"/>
  <c r="Y16" i="2" a="1"/>
  <c r="Y16" i="2" s="1"/>
  <c r="Y4" i="2" a="1"/>
  <c r="Y4" i="2" s="1"/>
  <c r="Y15" i="2" a="1"/>
  <c r="Y15" i="2" s="1"/>
  <c r="Y3" i="2" a="1"/>
  <c r="Y3" i="2" s="1"/>
  <c r="Y14" i="2" a="1"/>
  <c r="Y14" i="2" s="1"/>
  <c r="Y2" i="2" a="1"/>
  <c r="Y2" i="2" s="1"/>
  <c r="Y13" i="2" a="1"/>
  <c r="Y13" i="2" s="1"/>
  <c r="Y12" i="2" a="1"/>
  <c r="Y12" i="2" s="1"/>
  <c r="Y11" i="2" a="1"/>
  <c r="Y11" i="2" s="1"/>
  <c r="Y10" i="2" a="1"/>
  <c r="Y10" i="2" s="1"/>
  <c r="Y21" i="2" a="1"/>
  <c r="Y21" i="2" s="1"/>
  <c r="Y9" i="2" a="1"/>
  <c r="Y9" i="2" s="1"/>
  <c r="Y20" i="2" a="1"/>
  <c r="Y20" i="2" s="1"/>
  <c r="Y8" i="2" a="1"/>
  <c r="Y8" i="2" s="1"/>
  <c r="Y19" i="2" a="1"/>
  <c r="Y19" i="2" s="1"/>
  <c r="Y7" i="2" a="1"/>
  <c r="Y7" i="2" s="1"/>
  <c r="Y18" i="2" a="1"/>
  <c r="Y18" i="2" s="1"/>
  <c r="Y6" i="2" a="1"/>
  <c r="Y6" i="2" s="1"/>
  <c r="Y17" i="2" a="1"/>
  <c r="Y17" i="2" s="1"/>
  <c r="W21" i="2" l="1"/>
  <c r="W20" i="2"/>
  <c r="W19" i="2"/>
  <c r="W18" i="2"/>
  <c r="W17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7" i="2"/>
  <c r="V18" i="2"/>
  <c r="V19" i="2"/>
  <c r="V20" i="2"/>
  <c r="V21" i="2"/>
  <c r="O2" i="2" a="1"/>
  <c r="O2" i="2" s="1"/>
  <c r="O3" i="2" a="1"/>
  <c r="O3" i="2" s="1"/>
  <c r="O4" i="2" a="1"/>
  <c r="O4" i="2" s="1"/>
  <c r="O5" i="2" a="1"/>
  <c r="O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a="1"/>
  <c r="O11" i="2" s="1"/>
  <c r="O12" i="2" a="1"/>
  <c r="O12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M2" i="2" a="1"/>
  <c r="M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L2" i="2" a="1"/>
  <c r="L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K2" i="2" a="1"/>
  <c r="K2" i="2" s="1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J2" i="2" a="1"/>
  <c r="J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I2" i="2" a="1"/>
  <c r="I2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H2" i="2" a="1"/>
  <c r="H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C2" i="2" a="1"/>
  <c r="C2" i="2" s="1"/>
  <c r="N2" i="2" a="1"/>
  <c r="N2" i="2" s="1"/>
  <c r="N3" i="2" a="1"/>
  <c r="N3" i="2" s="1"/>
  <c r="N4" i="2" a="1"/>
  <c r="N4" i="2" s="1"/>
  <c r="N5" i="2" a="1"/>
  <c r="N5" i="2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 s="1"/>
  <c r="N18" i="2" a="1"/>
  <c r="N18" i="2" s="1"/>
  <c r="N19" i="2" a="1"/>
  <c r="N19" i="2" s="1"/>
  <c r="N20" i="2" a="1"/>
  <c r="N20" i="2" s="1"/>
  <c r="N21" i="2" a="1"/>
  <c r="N21" i="2" s="1"/>
  <c r="G2" i="2" a="1"/>
  <c r="G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F2" i="2" a="1"/>
  <c r="F2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E2" i="2" a="1"/>
  <c r="E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D2" i="2" a="1"/>
  <c r="D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Q13" i="2"/>
  <c r="S13" i="2"/>
  <c r="X13" i="2" s="1"/>
  <c r="Z13" i="2" s="1"/>
  <c r="T13" i="2"/>
  <c r="Q14" i="2"/>
  <c r="S14" i="2"/>
  <c r="X14" i="2" s="1"/>
  <c r="Z14" i="2" s="1"/>
  <c r="T14" i="2"/>
  <c r="Q15" i="2"/>
  <c r="S15" i="2"/>
  <c r="X15" i="2" s="1"/>
  <c r="Z15" i="2" s="1"/>
  <c r="T15" i="2"/>
  <c r="Q16" i="2"/>
  <c r="S16" i="2"/>
  <c r="X16" i="2" s="1"/>
  <c r="T16" i="2"/>
  <c r="Q17" i="2"/>
  <c r="S17" i="2"/>
  <c r="X17" i="2" s="1"/>
  <c r="Z17" i="2" s="1"/>
  <c r="T17" i="2"/>
  <c r="Q18" i="2"/>
  <c r="S18" i="2"/>
  <c r="X18" i="2" s="1"/>
  <c r="Z18" i="2" s="1"/>
  <c r="T18" i="2"/>
  <c r="Q19" i="2"/>
  <c r="S19" i="2"/>
  <c r="X19" i="2" s="1"/>
  <c r="Z19" i="2" s="1"/>
  <c r="T19" i="2"/>
  <c r="Q20" i="2"/>
  <c r="S20" i="2"/>
  <c r="X20" i="2" s="1"/>
  <c r="Z20" i="2" s="1"/>
  <c r="T20" i="2"/>
  <c r="Q21" i="2"/>
  <c r="S21" i="2"/>
  <c r="X21" i="2" s="1"/>
  <c r="Z21" i="2" s="1"/>
  <c r="T21" i="2"/>
  <c r="AF21" i="2" l="1"/>
  <c r="AF9" i="2"/>
  <c r="AF20" i="2"/>
  <c r="AF8" i="2"/>
  <c r="AF19" i="2"/>
  <c r="AF7" i="2"/>
  <c r="AF18" i="2"/>
  <c r="AF6" i="2"/>
  <c r="AF17" i="2"/>
  <c r="AF5" i="2"/>
  <c r="AF16" i="2"/>
  <c r="AF4" i="2"/>
  <c r="AF15" i="2"/>
  <c r="AF3" i="2"/>
  <c r="AF14" i="2"/>
  <c r="AF2" i="2"/>
  <c r="AF13" i="2"/>
  <c r="AF12" i="2"/>
  <c r="AF11" i="2"/>
  <c r="AF10" i="2"/>
  <c r="P4" i="2"/>
  <c r="P16" i="2"/>
  <c r="P19" i="2"/>
  <c r="P7" i="2"/>
  <c r="P5" i="2"/>
  <c r="P160" i="1" s="1"/>
  <c r="F115" i="4" s="1"/>
  <c r="P17" i="2"/>
  <c r="P18" i="2"/>
  <c r="P6" i="2"/>
  <c r="P3" i="2"/>
  <c r="P15" i="2"/>
  <c r="P14" i="2"/>
  <c r="P12" i="2"/>
  <c r="P13" i="2"/>
  <c r="F92" i="4"/>
  <c r="P10" i="2"/>
  <c r="P21" i="2"/>
  <c r="P9" i="2"/>
  <c r="P20" i="2"/>
  <c r="P8" i="2"/>
  <c r="F116" i="4"/>
  <c r="G116" i="4" s="1"/>
  <c r="H116" i="4" s="1"/>
  <c r="F113" i="4"/>
  <c r="F93" i="4"/>
  <c r="G93" i="4" s="1"/>
  <c r="H93" i="4" s="1"/>
  <c r="P11" i="2"/>
  <c r="P2" i="2"/>
  <c r="W16" i="2"/>
  <c r="Z16" i="2" s="1"/>
  <c r="AE9" i="2"/>
  <c r="AE21" i="2"/>
  <c r="AE20" i="2"/>
  <c r="AE18" i="2"/>
  <c r="AE17" i="2"/>
  <c r="AE15" i="2"/>
  <c r="AE8" i="2"/>
  <c r="AE5" i="2"/>
  <c r="AE4" i="2"/>
  <c r="AE3" i="2"/>
  <c r="AE10" i="2"/>
  <c r="AE19" i="2"/>
  <c r="AE7" i="2"/>
  <c r="AE6" i="2"/>
  <c r="AE14" i="2"/>
  <c r="AE2" i="2"/>
  <c r="AE13" i="2"/>
  <c r="AE12" i="2"/>
  <c r="AE11" i="2"/>
  <c r="AA5" i="2" a="1"/>
  <c r="AA5" i="2" s="1"/>
  <c r="V16" i="2"/>
  <c r="AA21" i="2" a="1"/>
  <c r="AA21" i="2" s="1"/>
  <c r="AA13" i="2" a="1"/>
  <c r="AA13" i="2" s="1"/>
  <c r="AC2" i="2" a="1"/>
  <c r="AC2" i="2" s="1"/>
  <c r="AC9" i="2" a="1"/>
  <c r="AC9" i="2" s="1"/>
  <c r="AC15" i="2" a="1"/>
  <c r="AC15" i="2" s="1"/>
  <c r="AC21" i="2" a="1"/>
  <c r="AC21" i="2" s="1"/>
  <c r="AC3" i="2" a="1"/>
  <c r="AC3" i="2" s="1"/>
  <c r="AC16" i="2" a="1"/>
  <c r="AC16" i="2" s="1"/>
  <c r="AB3" i="2" a="1"/>
  <c r="AB3" i="2" s="1"/>
  <c r="AB9" i="2" a="1"/>
  <c r="AB9" i="2" s="1"/>
  <c r="AB15" i="2" a="1"/>
  <c r="AB15" i="2" s="1"/>
  <c r="AC4" i="2" a="1"/>
  <c r="AC4" i="2" s="1"/>
  <c r="AC10" i="2" a="1"/>
  <c r="AC10" i="2" s="1"/>
  <c r="AC17" i="2" a="1"/>
  <c r="AC17" i="2" s="1"/>
  <c r="AC11" i="2" a="1"/>
  <c r="AC11" i="2" s="1"/>
  <c r="AB10" i="2" a="1"/>
  <c r="AB10" i="2" s="1"/>
  <c r="AC5" i="2" a="1"/>
  <c r="AC5" i="2" s="1"/>
  <c r="AC12" i="2" a="1"/>
  <c r="AC12" i="2" s="1"/>
  <c r="AC18" i="2" a="1"/>
  <c r="AC18" i="2" s="1"/>
  <c r="AC6" i="2" a="1"/>
  <c r="AC6" i="2" s="1"/>
  <c r="AC19" i="2" a="1"/>
  <c r="AC19" i="2" s="1"/>
  <c r="AC8" i="2" a="1"/>
  <c r="AC8" i="2" s="1"/>
  <c r="AC14" i="2" a="1"/>
  <c r="AC14" i="2" s="1"/>
  <c r="AC7" i="2" a="1"/>
  <c r="AC7" i="2" s="1"/>
  <c r="AB8" i="2" a="1"/>
  <c r="AB8" i="2" s="1"/>
  <c r="AB17" i="2" a="1"/>
  <c r="AB17" i="2" s="1"/>
  <c r="AC13" i="2" a="1"/>
  <c r="AC13" i="2" s="1"/>
  <c r="AC20" i="2" a="1"/>
  <c r="AC20" i="2" s="1"/>
  <c r="AB2" i="2" a="1"/>
  <c r="AB2" i="2" s="1"/>
  <c r="AB11" i="2" a="1"/>
  <c r="AB11" i="2" s="1"/>
  <c r="AB18" i="2" a="1"/>
  <c r="AB18" i="2" s="1"/>
  <c r="AB4" i="2" a="1"/>
  <c r="AB4" i="2" s="1"/>
  <c r="AB12" i="2" a="1"/>
  <c r="AB12" i="2" s="1"/>
  <c r="AB19" i="2" a="1"/>
  <c r="AB19" i="2" s="1"/>
  <c r="AB5" i="2" a="1"/>
  <c r="AB5" i="2" s="1"/>
  <c r="AB20" i="2" a="1"/>
  <c r="AB20" i="2" s="1"/>
  <c r="AB13" i="2" a="1"/>
  <c r="AB13" i="2" s="1"/>
  <c r="AB21" i="2" a="1"/>
  <c r="AB21" i="2" s="1"/>
  <c r="AB7" i="2" a="1"/>
  <c r="AB7" i="2" s="1"/>
  <c r="AB16" i="2" a="1"/>
  <c r="AB16" i="2" s="1"/>
  <c r="AB6" i="2" a="1"/>
  <c r="AB6" i="2" s="1"/>
  <c r="AB14" i="2" a="1"/>
  <c r="AB14" i="2" s="1"/>
  <c r="AA7" i="2" a="1"/>
  <c r="AA7" i="2" s="1"/>
  <c r="AA15" i="2" a="1"/>
  <c r="AA15" i="2" s="1"/>
  <c r="AA8" i="2" a="1"/>
  <c r="AA8" i="2" s="1"/>
  <c r="AA16" i="2" a="1"/>
  <c r="AA16" i="2" s="1"/>
  <c r="AA9" i="2" a="1"/>
  <c r="AA9" i="2" s="1"/>
  <c r="AA17" i="2" a="1"/>
  <c r="AA17" i="2" s="1"/>
  <c r="AA2" i="2" a="1"/>
  <c r="AA2" i="2" s="1"/>
  <c r="AA10" i="2" a="1"/>
  <c r="AA10" i="2" s="1"/>
  <c r="AA18" i="2" a="1"/>
  <c r="AA18" i="2" s="1"/>
  <c r="AA3" i="2" a="1"/>
  <c r="AA3" i="2" s="1"/>
  <c r="AA11" i="2" a="1"/>
  <c r="AA11" i="2" s="1"/>
  <c r="AA19" i="2" a="1"/>
  <c r="AA19" i="2" s="1"/>
  <c r="AA4" i="2" a="1"/>
  <c r="AA4" i="2" s="1"/>
  <c r="AA12" i="2" a="1"/>
  <c r="AA12" i="2" s="1"/>
  <c r="AA20" i="2" a="1"/>
  <c r="AA20" i="2" s="1"/>
  <c r="AA6" i="2" a="1"/>
  <c r="AA6" i="2" s="1"/>
  <c r="AA14" i="2" a="1"/>
  <c r="AA14" i="2" s="1"/>
  <c r="AD21" i="2"/>
  <c r="AD20" i="2"/>
  <c r="AD17" i="2"/>
  <c r="AD14" i="2"/>
  <c r="AD13" i="2"/>
  <c r="AD19" i="2"/>
  <c r="S2" i="2"/>
  <c r="X2" i="2" s="1"/>
  <c r="Z2" i="2" s="1"/>
  <c r="S3" i="2"/>
  <c r="X3" i="2" s="1"/>
  <c r="Z3" i="2" s="1"/>
  <c r="S4" i="2"/>
  <c r="X4" i="2" s="1"/>
  <c r="Z4" i="2" s="1"/>
  <c r="S5" i="2"/>
  <c r="X5" i="2" s="1"/>
  <c r="Z5" i="2" s="1"/>
  <c r="S6" i="2"/>
  <c r="X6" i="2" s="1"/>
  <c r="Z6" i="2" s="1"/>
  <c r="S7" i="2"/>
  <c r="X7" i="2" s="1"/>
  <c r="Z7" i="2" s="1"/>
  <c r="S8" i="2"/>
  <c r="X8" i="2" s="1"/>
  <c r="Z8" i="2" s="1"/>
  <c r="S9" i="2"/>
  <c r="X9" i="2" s="1"/>
  <c r="Z9" i="2" s="1"/>
  <c r="S10" i="2"/>
  <c r="X10" i="2" s="1"/>
  <c r="Z10" i="2" s="1"/>
  <c r="S11" i="2"/>
  <c r="X11" i="2" s="1"/>
  <c r="Z11" i="2" s="1"/>
  <c r="S12" i="2"/>
  <c r="X12" i="2" s="1"/>
  <c r="Z12" i="2" s="1"/>
  <c r="U1" i="3" a="1"/>
  <c r="T2" i="2"/>
  <c r="T3" i="2"/>
  <c r="T4" i="2"/>
  <c r="T5" i="2"/>
  <c r="T6" i="2"/>
  <c r="T7" i="2"/>
  <c r="T8" i="2"/>
  <c r="T9" i="2"/>
  <c r="T10" i="2"/>
  <c r="T11" i="2"/>
  <c r="T12" i="2"/>
  <c r="Q2" i="2"/>
  <c r="Q3" i="2"/>
  <c r="Q4" i="2"/>
  <c r="Q5" i="2"/>
  <c r="Q6" i="2"/>
  <c r="Q7" i="2"/>
  <c r="Q8" i="2"/>
  <c r="Q9" i="2"/>
  <c r="Q10" i="2"/>
  <c r="Q11" i="2"/>
  <c r="Q12" i="2"/>
  <c r="P5" i="1" l="1"/>
  <c r="P8" i="1"/>
  <c r="P9" i="1"/>
  <c r="P13" i="1"/>
  <c r="P14" i="1"/>
  <c r="P23" i="1"/>
  <c r="P24" i="1"/>
  <c r="P25" i="1"/>
  <c r="P29" i="1"/>
  <c r="P30" i="1"/>
  <c r="P32" i="1"/>
  <c r="P33" i="1"/>
  <c r="P35" i="1"/>
  <c r="P100" i="1"/>
  <c r="G115" i="4"/>
  <c r="H115" i="4" s="1"/>
  <c r="P6" i="1"/>
  <c r="P7" i="1"/>
  <c r="P10" i="1"/>
  <c r="P11" i="1"/>
  <c r="P12" i="1"/>
  <c r="P19" i="1"/>
  <c r="P21" i="1"/>
  <c r="P22" i="1"/>
  <c r="P27" i="1"/>
  <c r="P28" i="1"/>
  <c r="P181" i="1"/>
  <c r="P184" i="1"/>
  <c r="P175" i="1"/>
  <c r="P179" i="1"/>
  <c r="P166" i="1"/>
  <c r="P169" i="1"/>
  <c r="P159" i="1"/>
  <c r="P164" i="1"/>
  <c r="P150" i="1"/>
  <c r="P153" i="1"/>
  <c r="P154" i="1"/>
  <c r="P141" i="1"/>
  <c r="P146" i="1"/>
  <c r="P132" i="1"/>
  <c r="P139" i="1"/>
  <c r="P127" i="1"/>
  <c r="P130" i="1"/>
  <c r="P120" i="1"/>
  <c r="P124" i="1"/>
  <c r="P112" i="1"/>
  <c r="P119" i="1"/>
  <c r="P103" i="1"/>
  <c r="P108" i="1"/>
  <c r="P97" i="1"/>
  <c r="P99" i="1"/>
  <c r="P89" i="1"/>
  <c r="P95" i="1"/>
  <c r="P94" i="1"/>
  <c r="P4" i="1"/>
  <c r="P86" i="1"/>
  <c r="P183" i="1"/>
  <c r="P182" i="1"/>
  <c r="P180" i="1"/>
  <c r="P178" i="1"/>
  <c r="P176" i="1"/>
  <c r="P174" i="1"/>
  <c r="P173" i="1"/>
  <c r="P172" i="1"/>
  <c r="P171" i="1"/>
  <c r="P168" i="1"/>
  <c r="P167" i="1"/>
  <c r="P165" i="1"/>
  <c r="P163" i="1"/>
  <c r="P162" i="1"/>
  <c r="P161" i="1"/>
  <c r="P158" i="1"/>
  <c r="P157" i="1"/>
  <c r="P156" i="1"/>
  <c r="P152" i="1"/>
  <c r="P151" i="1"/>
  <c r="P145" i="1"/>
  <c r="P144" i="1"/>
  <c r="P143" i="1"/>
  <c r="P142" i="1"/>
  <c r="P140" i="1"/>
  <c r="P138" i="1"/>
  <c r="P137" i="1"/>
  <c r="P136" i="1"/>
  <c r="P135" i="1"/>
  <c r="P134" i="1"/>
  <c r="P133" i="1"/>
  <c r="P131" i="1"/>
  <c r="P129" i="1"/>
  <c r="P126" i="1"/>
  <c r="P125" i="1"/>
  <c r="P123" i="1"/>
  <c r="P122" i="1"/>
  <c r="P121" i="1"/>
  <c r="P118" i="1"/>
  <c r="P117" i="1"/>
  <c r="P116" i="1"/>
  <c r="P114" i="1"/>
  <c r="P111" i="1"/>
  <c r="P107" i="1"/>
  <c r="P106" i="1"/>
  <c r="P105" i="1"/>
  <c r="P104" i="1"/>
  <c r="P102" i="1"/>
  <c r="P101" i="1"/>
  <c r="P98" i="1"/>
  <c r="P96" i="1"/>
  <c r="P93" i="1"/>
  <c r="P92" i="1"/>
  <c r="P91" i="1"/>
  <c r="P88" i="1"/>
  <c r="P87" i="1"/>
  <c r="P85" i="1"/>
  <c r="P84" i="1"/>
  <c r="P82" i="1"/>
  <c r="P83" i="1"/>
  <c r="P80" i="1"/>
  <c r="P78" i="1"/>
  <c r="P77" i="1"/>
  <c r="P76" i="1"/>
  <c r="P75" i="1"/>
  <c r="P74" i="1"/>
  <c r="P72" i="1"/>
  <c r="P71" i="1"/>
  <c r="P70" i="1"/>
  <c r="P68" i="1"/>
  <c r="P67" i="1"/>
  <c r="P61" i="1"/>
  <c r="P60" i="1"/>
  <c r="P59" i="1"/>
  <c r="P58" i="1"/>
  <c r="P57" i="1"/>
  <c r="P55" i="1"/>
  <c r="P52" i="1"/>
  <c r="P51" i="1"/>
  <c r="P50" i="1"/>
  <c r="P49" i="1"/>
  <c r="P48" i="1"/>
  <c r="P47" i="1"/>
  <c r="P46" i="1"/>
  <c r="P45" i="1"/>
  <c r="P44" i="1"/>
  <c r="P42" i="1"/>
  <c r="P41" i="1"/>
  <c r="P40" i="1"/>
  <c r="P38" i="1"/>
  <c r="P37" i="1"/>
  <c r="P34" i="1"/>
  <c r="P31" i="1"/>
  <c r="P26" i="1"/>
  <c r="P20" i="1"/>
  <c r="P18" i="1"/>
  <c r="P17" i="1"/>
  <c r="P15" i="1"/>
  <c r="U1" i="3"/>
  <c r="F120" i="4"/>
  <c r="G120" i="4" s="1"/>
  <c r="H120" i="4" s="1"/>
  <c r="G113" i="4"/>
  <c r="H113" i="4" s="1"/>
  <c r="G92" i="4"/>
  <c r="H92" i="4" s="1"/>
  <c r="F119" i="4"/>
  <c r="G119" i="4" s="1"/>
  <c r="H119" i="4" s="1"/>
  <c r="F25" i="4"/>
  <c r="F121" i="4"/>
  <c r="F114" i="4"/>
  <c r="G114" i="4" s="1"/>
  <c r="H114" i="4" s="1"/>
  <c r="F122" i="4"/>
  <c r="G122" i="4" s="1"/>
  <c r="H122" i="4" s="1"/>
  <c r="F124" i="4"/>
  <c r="G124" i="4" s="1"/>
  <c r="H124" i="4" s="1"/>
  <c r="F21" i="4"/>
  <c r="G21" i="4" s="1"/>
  <c r="H21" i="4" s="1"/>
  <c r="F9" i="4"/>
  <c r="G9" i="4" s="1"/>
  <c r="H9" i="4" s="1"/>
  <c r="F6" i="4"/>
  <c r="G6" i="4" s="1"/>
  <c r="H6" i="4" s="1"/>
  <c r="F106" i="4"/>
  <c r="G106" i="4" s="1"/>
  <c r="H106" i="4" s="1"/>
  <c r="F95" i="4"/>
  <c r="G95" i="4" s="1"/>
  <c r="H95" i="4" s="1"/>
  <c r="F117" i="4"/>
  <c r="G117" i="4" s="1"/>
  <c r="H117" i="4" s="1"/>
  <c r="F79" i="4"/>
  <c r="F107" i="4"/>
  <c r="G107" i="4" s="1"/>
  <c r="H107" i="4" s="1"/>
  <c r="F108" i="4"/>
  <c r="G108" i="4" s="1"/>
  <c r="H108" i="4" s="1"/>
  <c r="F101" i="4"/>
  <c r="F81" i="4"/>
  <c r="F103" i="4"/>
  <c r="G103" i="4" s="1"/>
  <c r="H103" i="4" s="1"/>
  <c r="F68" i="4"/>
  <c r="G68" i="4" s="1"/>
  <c r="H68" i="4" s="1"/>
  <c r="F111" i="4"/>
  <c r="G111" i="4" s="1"/>
  <c r="H111" i="4" s="1"/>
  <c r="F94" i="4"/>
  <c r="F83" i="4"/>
  <c r="F55" i="4"/>
  <c r="G55" i="4" s="1"/>
  <c r="H55" i="4" s="1"/>
  <c r="F29" i="4"/>
  <c r="G29" i="4" s="1"/>
  <c r="H29" i="4" s="1"/>
  <c r="F90" i="4"/>
  <c r="G90" i="4" s="1"/>
  <c r="H90" i="4" s="1"/>
  <c r="F69" i="4"/>
  <c r="G69" i="4" s="1"/>
  <c r="H69" i="4" s="1"/>
  <c r="F57" i="4"/>
  <c r="G57" i="4" s="1"/>
  <c r="H57" i="4" s="1"/>
  <c r="F52" i="4"/>
  <c r="G52" i="4" s="1"/>
  <c r="H52" i="4" s="1"/>
  <c r="F17" i="4"/>
  <c r="G17" i="4" s="1"/>
  <c r="H17" i="4" s="1"/>
  <c r="F24" i="4"/>
  <c r="G24" i="4" s="1"/>
  <c r="H24" i="4" s="1"/>
  <c r="F66" i="4"/>
  <c r="G66" i="4" s="1"/>
  <c r="H66" i="4" s="1"/>
  <c r="F87" i="4"/>
  <c r="F44" i="4"/>
  <c r="G44" i="4" s="1"/>
  <c r="H44" i="4" s="1"/>
  <c r="F22" i="4"/>
  <c r="G22" i="4" s="1"/>
  <c r="H22" i="4" s="1"/>
  <c r="F78" i="4"/>
  <c r="G78" i="4" s="1"/>
  <c r="H78" i="4" s="1"/>
  <c r="F89" i="4"/>
  <c r="G89" i="4" s="1"/>
  <c r="H89" i="4" s="1"/>
  <c r="F62" i="4"/>
  <c r="G62" i="4" s="1"/>
  <c r="H62" i="4" s="1"/>
  <c r="F16" i="4"/>
  <c r="G16" i="4" s="1"/>
  <c r="H16" i="4" s="1"/>
  <c r="F42" i="4"/>
  <c r="G42" i="4" s="1"/>
  <c r="H42" i="4" s="1"/>
  <c r="F82" i="4"/>
  <c r="G82" i="4" s="1"/>
  <c r="H82" i="4" s="1"/>
  <c r="F80" i="4"/>
  <c r="G80" i="4" s="1"/>
  <c r="H80" i="4" s="1"/>
  <c r="F74" i="4"/>
  <c r="G74" i="4" s="1"/>
  <c r="H74" i="4" s="1"/>
  <c r="F19" i="4"/>
  <c r="G19" i="4" s="1"/>
  <c r="H19" i="4" s="1"/>
  <c r="F53" i="4"/>
  <c r="G53" i="4" s="1"/>
  <c r="H53" i="4" s="1"/>
  <c r="F86" i="4"/>
  <c r="G86" i="4" s="1"/>
  <c r="H86" i="4" s="1"/>
  <c r="F33" i="4"/>
  <c r="G33" i="4" s="1"/>
  <c r="H33" i="4" s="1"/>
  <c r="F13" i="4"/>
  <c r="G13" i="4" s="1"/>
  <c r="H13" i="4" s="1"/>
  <c r="F64" i="4"/>
  <c r="G64" i="4" s="1"/>
  <c r="H64" i="4" s="1"/>
  <c r="F11" i="4"/>
  <c r="G11" i="4" s="1"/>
  <c r="H11" i="4" s="1"/>
  <c r="F12" i="4"/>
  <c r="G12" i="4" s="1"/>
  <c r="H12" i="4" s="1"/>
  <c r="F26" i="4"/>
  <c r="G26" i="4" s="1"/>
  <c r="H26" i="4" s="1"/>
  <c r="F3" i="4"/>
  <c r="G3" i="4" s="1"/>
  <c r="H3" i="4" s="1"/>
  <c r="F76" i="4"/>
  <c r="F100" i="4"/>
  <c r="G100" i="4" s="1"/>
  <c r="H100" i="4" s="1"/>
  <c r="F34" i="4"/>
  <c r="F27" i="4"/>
  <c r="G27" i="4" s="1"/>
  <c r="H27" i="4" s="1"/>
  <c r="F77" i="4"/>
  <c r="G77" i="4" s="1"/>
  <c r="H77" i="4" s="1"/>
  <c r="F51" i="4"/>
  <c r="G51" i="4" s="1"/>
  <c r="H51" i="4" s="1"/>
  <c r="F85" i="4"/>
  <c r="G85" i="4" s="1"/>
  <c r="H85" i="4" s="1"/>
  <c r="F65" i="4"/>
  <c r="G65" i="4" s="1"/>
  <c r="H65" i="4" s="1"/>
  <c r="F15" i="4"/>
  <c r="F8" i="4"/>
  <c r="G8" i="4" s="1"/>
  <c r="H8" i="4" s="1"/>
  <c r="F88" i="4"/>
  <c r="G88" i="4" s="1"/>
  <c r="H88" i="4" s="1"/>
  <c r="F63" i="4"/>
  <c r="G63" i="4" s="1"/>
  <c r="H63" i="4" s="1"/>
  <c r="F67" i="4"/>
  <c r="G67" i="4" s="1"/>
  <c r="H67" i="4" s="1"/>
  <c r="F50" i="4"/>
  <c r="G50" i="4" s="1"/>
  <c r="H50" i="4" s="1"/>
  <c r="F5" i="4"/>
  <c r="G5" i="4" s="1"/>
  <c r="H5" i="4" s="1"/>
  <c r="F61" i="4"/>
  <c r="G61" i="4" s="1"/>
  <c r="H61" i="4" s="1"/>
  <c r="F37" i="4"/>
  <c r="G37" i="4" s="1"/>
  <c r="H37" i="4" s="1"/>
  <c r="F32" i="4"/>
  <c r="G32" i="4" s="1"/>
  <c r="H32" i="4" s="1"/>
  <c r="F60" i="4"/>
  <c r="G60" i="4" s="1"/>
  <c r="H60" i="4" s="1"/>
  <c r="AE16" i="2"/>
  <c r="AD18" i="2"/>
  <c r="AD15" i="2"/>
  <c r="F1" i="1"/>
  <c r="T1" i="3" a="1"/>
  <c r="Q16" i="1" l="1"/>
  <c r="Q36" i="1"/>
  <c r="Q43" i="1"/>
  <c r="Q53" i="1"/>
  <c r="Q54" i="1"/>
  <c r="Q56" i="1"/>
  <c r="Q79" i="1"/>
  <c r="Q81" i="1"/>
  <c r="Q90" i="1"/>
  <c r="Q109" i="1"/>
  <c r="Q110" i="1"/>
  <c r="Q113" i="1"/>
  <c r="Q115" i="1"/>
  <c r="Q128" i="1"/>
  <c r="Q147" i="1"/>
  <c r="Q148" i="1"/>
  <c r="Q149" i="1"/>
  <c r="Q155" i="1"/>
  <c r="Q170" i="1"/>
  <c r="Q177" i="1"/>
  <c r="Q185" i="1"/>
  <c r="Q186" i="1"/>
  <c r="Q187" i="1"/>
  <c r="AK43" i="1" a="1"/>
  <c r="AK43" i="1" s="1"/>
  <c r="AK56" i="1" a="1"/>
  <c r="AK56" i="1" s="1"/>
  <c r="AK90" i="1" a="1"/>
  <c r="AK90" i="1" s="1"/>
  <c r="AK115" i="1" a="1"/>
  <c r="AK115" i="1" s="1"/>
  <c r="AK149" i="1" a="1"/>
  <c r="AK149" i="1" s="1"/>
  <c r="AK185" i="1" a="1"/>
  <c r="AK185" i="1" s="1"/>
  <c r="AK54" i="1" a="1"/>
  <c r="AK54" i="1" s="1"/>
  <c r="AK109" i="1" a="1"/>
  <c r="AK109" i="1" s="1"/>
  <c r="AK128" i="1" a="1"/>
  <c r="AK128" i="1" s="1"/>
  <c r="AK155" i="1" a="1"/>
  <c r="AK155" i="1" s="1"/>
  <c r="AK186" i="1" a="1"/>
  <c r="AK186" i="1" s="1"/>
  <c r="AK81" i="1" a="1"/>
  <c r="AK81" i="1" s="1"/>
  <c r="AK113" i="1" a="1"/>
  <c r="AK113" i="1" s="1"/>
  <c r="AK148" i="1" a="1"/>
  <c r="AK148" i="1" s="1"/>
  <c r="AK177" i="1" a="1"/>
  <c r="AK177" i="1" s="1"/>
  <c r="AK16" i="1" a="1"/>
  <c r="AK16" i="1" s="1"/>
  <c r="AK36" i="1" a="1"/>
  <c r="AK36" i="1" s="1"/>
  <c r="AK53" i="1" a="1"/>
  <c r="AK53" i="1" s="1"/>
  <c r="AK79" i="1" a="1"/>
  <c r="AK79" i="1" s="1"/>
  <c r="AK110" i="1" a="1"/>
  <c r="AK110" i="1" s="1"/>
  <c r="AK147" i="1" a="1"/>
  <c r="AK147" i="1" s="1"/>
  <c r="AK170" i="1" a="1"/>
  <c r="AK170" i="1" s="1"/>
  <c r="AK187" i="1" a="1"/>
  <c r="AK187" i="1" s="1"/>
  <c r="Q39" i="1"/>
  <c r="Q62" i="1"/>
  <c r="Q63" i="1"/>
  <c r="Q64" i="1"/>
  <c r="Q65" i="1"/>
  <c r="Q66" i="1"/>
  <c r="Q69" i="1"/>
  <c r="Q73" i="1"/>
  <c r="AK39" i="1" a="1"/>
  <c r="AK39" i="1" s="1"/>
  <c r="AK62" i="1" a="1"/>
  <c r="AK62" i="1" s="1"/>
  <c r="AK63" i="1" a="1"/>
  <c r="AK63" i="1" s="1"/>
  <c r="AK64" i="1" a="1"/>
  <c r="AK64" i="1" s="1"/>
  <c r="AK65" i="1" a="1"/>
  <c r="AK65" i="1" s="1"/>
  <c r="AK66" i="1" a="1"/>
  <c r="AK66" i="1" s="1"/>
  <c r="AK69" i="1" a="1"/>
  <c r="AK69" i="1" s="1"/>
  <c r="AK73" i="1" a="1"/>
  <c r="AK73" i="1" s="1"/>
  <c r="Q5" i="1"/>
  <c r="Q8" i="1"/>
  <c r="Q9" i="1"/>
  <c r="Q13" i="1"/>
  <c r="Q14" i="1"/>
  <c r="Q23" i="1"/>
  <c r="Q24" i="1"/>
  <c r="Q25" i="1"/>
  <c r="Q29" i="1"/>
  <c r="Q30" i="1"/>
  <c r="Q32" i="1"/>
  <c r="Q33" i="1"/>
  <c r="Q35" i="1"/>
  <c r="Q100" i="1"/>
  <c r="AK5" i="1" a="1"/>
  <c r="AK5" i="1" s="1"/>
  <c r="AK8" i="1" a="1"/>
  <c r="AK8" i="1" s="1"/>
  <c r="AK9" i="1" a="1"/>
  <c r="AK9" i="1" s="1"/>
  <c r="AK13" i="1" a="1"/>
  <c r="AK13" i="1" s="1"/>
  <c r="AK14" i="1" a="1"/>
  <c r="AK14" i="1" s="1"/>
  <c r="AK23" i="1" a="1"/>
  <c r="AK23" i="1" s="1"/>
  <c r="AK24" i="1" a="1"/>
  <c r="AK24" i="1" s="1"/>
  <c r="AK25" i="1" a="1"/>
  <c r="AK25" i="1" s="1"/>
  <c r="AK29" i="1" a="1"/>
  <c r="AK29" i="1" s="1"/>
  <c r="AK30" i="1" a="1"/>
  <c r="AK30" i="1" s="1"/>
  <c r="AK32" i="1" a="1"/>
  <c r="AK32" i="1" s="1"/>
  <c r="AK33" i="1" a="1"/>
  <c r="AK33" i="1" s="1"/>
  <c r="AK35" i="1" a="1"/>
  <c r="AK35" i="1" s="1"/>
  <c r="AK100" i="1" a="1"/>
  <c r="AK100" i="1" s="1"/>
  <c r="AK160" i="1" a="1"/>
  <c r="AK160" i="1" s="1"/>
  <c r="Q160" i="1"/>
  <c r="Q6" i="1"/>
  <c r="Q7" i="1"/>
  <c r="Q10" i="1"/>
  <c r="Q11" i="1"/>
  <c r="Q12" i="1"/>
  <c r="Q19" i="1"/>
  <c r="Q21" i="1"/>
  <c r="Q22" i="1"/>
  <c r="Q27" i="1"/>
  <c r="Q28" i="1"/>
  <c r="AK6" i="1" a="1"/>
  <c r="AK6" i="1" s="1"/>
  <c r="AK7" i="1" a="1"/>
  <c r="AK7" i="1" s="1"/>
  <c r="AK10" i="1" a="1"/>
  <c r="AK10" i="1" s="1"/>
  <c r="AK11" i="1" a="1"/>
  <c r="AK11" i="1" s="1"/>
  <c r="AK12" i="1" a="1"/>
  <c r="AK12" i="1" s="1"/>
  <c r="AK19" i="1" a="1"/>
  <c r="AK19" i="1" s="1"/>
  <c r="AK21" i="1" a="1"/>
  <c r="AK21" i="1" s="1"/>
  <c r="AK22" i="1" a="1"/>
  <c r="AK22" i="1" s="1"/>
  <c r="AK27" i="1" a="1"/>
  <c r="AK27" i="1" s="1"/>
  <c r="AK28" i="1" a="1"/>
  <c r="AK28" i="1" s="1"/>
  <c r="Q59" i="1"/>
  <c r="Q184" i="1"/>
  <c r="AK184" i="1" a="1"/>
  <c r="AK184" i="1" s="1"/>
  <c r="Q181" i="1"/>
  <c r="AK181" i="1" a="1"/>
  <c r="AK181" i="1" s="1"/>
  <c r="Q179" i="1"/>
  <c r="AK179" i="1" a="1"/>
  <c r="AK179" i="1" s="1"/>
  <c r="Q175" i="1"/>
  <c r="AK175" i="1" a="1"/>
  <c r="AK175" i="1" s="1"/>
  <c r="Q169" i="1"/>
  <c r="AK169" i="1" a="1"/>
  <c r="AK169" i="1" s="1"/>
  <c r="Q166" i="1"/>
  <c r="AK166" i="1" a="1"/>
  <c r="AK166" i="1" s="1"/>
  <c r="Q164" i="1"/>
  <c r="AK164" i="1" a="1"/>
  <c r="AK164" i="1" s="1"/>
  <c r="Q159" i="1"/>
  <c r="AK159" i="1" a="1"/>
  <c r="AK159" i="1" s="1"/>
  <c r="Q153" i="1"/>
  <c r="Q154" i="1"/>
  <c r="AK153" i="1" a="1"/>
  <c r="AK153" i="1" s="1"/>
  <c r="AK154" i="1" a="1"/>
  <c r="AK154" i="1" s="1"/>
  <c r="Q150" i="1"/>
  <c r="AK150" i="1" a="1"/>
  <c r="AK150" i="1" s="1"/>
  <c r="Q146" i="1"/>
  <c r="AK146" i="1" a="1"/>
  <c r="AK146" i="1" s="1"/>
  <c r="Q141" i="1"/>
  <c r="AK141" i="1" a="1"/>
  <c r="AK141" i="1" s="1"/>
  <c r="Q139" i="1"/>
  <c r="AK139" i="1" a="1"/>
  <c r="AK139" i="1" s="1"/>
  <c r="Q132" i="1"/>
  <c r="AK132" i="1" a="1"/>
  <c r="AK132" i="1" s="1"/>
  <c r="Q130" i="1"/>
  <c r="AK130" i="1" a="1"/>
  <c r="AK130" i="1" s="1"/>
  <c r="Q127" i="1"/>
  <c r="AK127" i="1" a="1"/>
  <c r="AK127" i="1" s="1"/>
  <c r="Q124" i="1"/>
  <c r="AK124" i="1" a="1"/>
  <c r="AK124" i="1" s="1"/>
  <c r="Q120" i="1"/>
  <c r="AK120" i="1" a="1"/>
  <c r="AK120" i="1" s="1"/>
  <c r="Q119" i="1"/>
  <c r="AK119" i="1" a="1"/>
  <c r="AK119" i="1" s="1"/>
  <c r="Q112" i="1"/>
  <c r="AK112" i="1" a="1"/>
  <c r="AK112" i="1" s="1"/>
  <c r="Q108" i="1"/>
  <c r="AK108" i="1" a="1"/>
  <c r="AK108" i="1" s="1"/>
  <c r="Q103" i="1"/>
  <c r="AK103" i="1" a="1"/>
  <c r="AK103" i="1" s="1"/>
  <c r="Q99" i="1"/>
  <c r="AK99" i="1" a="1"/>
  <c r="AK99" i="1" s="1"/>
  <c r="Q97" i="1"/>
  <c r="AK97" i="1" a="1"/>
  <c r="AK97" i="1" s="1"/>
  <c r="Q94" i="1"/>
  <c r="Q95" i="1"/>
  <c r="AK94" i="1" a="1"/>
  <c r="AK94" i="1" s="1"/>
  <c r="AK95" i="1" a="1"/>
  <c r="AK95" i="1" s="1"/>
  <c r="Q89" i="1"/>
  <c r="AK89" i="1" a="1"/>
  <c r="AK89" i="1" s="1"/>
  <c r="Q86" i="1"/>
  <c r="AK86" i="1" a="1"/>
  <c r="AK86" i="1" s="1"/>
  <c r="F4" i="4"/>
  <c r="G4" i="4" s="1"/>
  <c r="H4" i="4" s="1"/>
  <c r="Q4" i="1"/>
  <c r="AK4" i="1" a="1"/>
  <c r="AK4" i="1" s="1"/>
  <c r="Q129" i="1"/>
  <c r="AK122" i="1" a="1"/>
  <c r="AK122" i="1" s="1"/>
  <c r="AK117" i="1" a="1"/>
  <c r="AK117" i="1" s="1"/>
  <c r="Q107" i="1"/>
  <c r="Q106" i="1"/>
  <c r="AK106" i="1" a="1"/>
  <c r="AK106" i="1" s="1"/>
  <c r="Q105" i="1"/>
  <c r="AK104" i="1" a="1"/>
  <c r="AK104" i="1" s="1"/>
  <c r="AK98" i="1" a="1"/>
  <c r="AK98" i="1" s="1"/>
  <c r="Q92" i="1"/>
  <c r="Q88" i="1"/>
  <c r="Q87" i="1"/>
  <c r="Q85" i="1"/>
  <c r="AK84" i="1" a="1"/>
  <c r="AK84" i="1" s="1"/>
  <c r="Q78" i="1"/>
  <c r="AK78" i="1" a="1"/>
  <c r="AK78" i="1" s="1"/>
  <c r="Q74" i="1"/>
  <c r="AK72" i="1" a="1"/>
  <c r="AK72" i="1" s="1"/>
  <c r="Q61" i="1"/>
  <c r="AK58" i="1" a="1"/>
  <c r="AK58" i="1" s="1"/>
  <c r="Q125" i="1"/>
  <c r="Q122" i="1"/>
  <c r="AK121" i="1" a="1"/>
  <c r="AK121" i="1" s="1"/>
  <c r="Q117" i="1"/>
  <c r="Q111" i="1"/>
  <c r="AK107" i="1" a="1"/>
  <c r="AK107" i="1" s="1"/>
  <c r="Q102" i="1"/>
  <c r="Q101" i="1"/>
  <c r="Q96" i="1"/>
  <c r="AK91" i="1" a="1"/>
  <c r="AK91" i="1" s="1"/>
  <c r="AK85" i="1" a="1"/>
  <c r="AK85" i="1" s="1"/>
  <c r="AK80" i="1" a="1"/>
  <c r="AK80" i="1" s="1"/>
  <c r="Q75" i="1"/>
  <c r="Q72" i="1"/>
  <c r="Q71" i="1"/>
  <c r="AK68" i="1" a="1"/>
  <c r="AK68" i="1" s="1"/>
  <c r="Q60" i="1"/>
  <c r="AK60" i="1" a="1"/>
  <c r="AK60" i="1" s="1"/>
  <c r="Q123" i="1"/>
  <c r="AK123" i="1" a="1"/>
  <c r="AK123" i="1" s="1"/>
  <c r="Q116" i="1"/>
  <c r="AK114" i="1" a="1"/>
  <c r="AK114" i="1" s="1"/>
  <c r="Q104" i="1"/>
  <c r="AK102" i="1" a="1"/>
  <c r="AK102" i="1" s="1"/>
  <c r="AK96" i="1" a="1"/>
  <c r="AK96" i="1" s="1"/>
  <c r="Q91" i="1"/>
  <c r="AK88" i="1" a="1"/>
  <c r="AK88" i="1" s="1"/>
  <c r="Q84" i="1"/>
  <c r="Q83" i="1"/>
  <c r="Q80" i="1"/>
  <c r="Q77" i="1"/>
  <c r="AK76" i="1" a="1"/>
  <c r="AK76" i="1" s="1"/>
  <c r="AK71" i="1" a="1"/>
  <c r="AK71" i="1" s="1"/>
  <c r="AK67" i="1" a="1"/>
  <c r="AK67" i="1" s="1"/>
  <c r="AK59" i="1" a="1"/>
  <c r="AK59" i="1" s="1"/>
  <c r="AK116" i="1" a="1"/>
  <c r="AK116" i="1" s="1"/>
  <c r="Q98" i="1"/>
  <c r="AK93" i="1" a="1"/>
  <c r="AK93" i="1" s="1"/>
  <c r="AK82" i="1" a="1"/>
  <c r="AK82" i="1" s="1"/>
  <c r="AK77" i="1" a="1"/>
  <c r="AK77" i="1" s="1"/>
  <c r="AK74" i="1" a="1"/>
  <c r="AK74" i="1" s="1"/>
  <c r="Q70" i="1"/>
  <c r="Q68" i="1"/>
  <c r="Q67" i="1"/>
  <c r="AK61" i="1" a="1"/>
  <c r="AK61" i="1" s="1"/>
  <c r="Q58" i="1"/>
  <c r="Q57" i="1"/>
  <c r="AK57" i="1" a="1"/>
  <c r="AK57" i="1" s="1"/>
  <c r="Q126" i="1"/>
  <c r="Q121" i="1"/>
  <c r="Q118" i="1"/>
  <c r="AK118" i="1" a="1"/>
  <c r="AK118" i="1" s="1"/>
  <c r="Q114" i="1"/>
  <c r="AK111" i="1" a="1"/>
  <c r="AK111" i="1" s="1"/>
  <c r="AK105" i="1" a="1"/>
  <c r="AK105" i="1" s="1"/>
  <c r="AK101" i="1" a="1"/>
  <c r="AK101" i="1" s="1"/>
  <c r="Q93" i="1"/>
  <c r="AK92" i="1" a="1"/>
  <c r="AK92" i="1" s="1"/>
  <c r="AK87" i="1" a="1"/>
  <c r="AK87" i="1" s="1"/>
  <c r="Q82" i="1"/>
  <c r="AK83" i="1" a="1"/>
  <c r="AK83" i="1" s="1"/>
  <c r="Q76" i="1"/>
  <c r="AK75" i="1" a="1"/>
  <c r="AK75" i="1" s="1"/>
  <c r="AK70" i="1" a="1"/>
  <c r="AK70" i="1" s="1"/>
  <c r="AK125" i="1" a="1"/>
  <c r="AK125" i="1" s="1"/>
  <c r="AK126" i="1" a="1"/>
  <c r="AK126" i="1" s="1"/>
  <c r="AK162" i="1" a="1"/>
  <c r="AK162" i="1" s="1"/>
  <c r="AK151" i="1" a="1"/>
  <c r="AK151" i="1" s="1"/>
  <c r="AK140" i="1" a="1"/>
  <c r="AK140" i="1" s="1"/>
  <c r="Q133" i="1"/>
  <c r="AK129" i="1" a="1"/>
  <c r="AK129" i="1" s="1"/>
  <c r="Q165" i="1"/>
  <c r="AK161" i="1" a="1"/>
  <c r="AK161" i="1" s="1"/>
  <c r="Q143" i="1"/>
  <c r="AK142" i="1" a="1"/>
  <c r="AK142" i="1" s="1"/>
  <c r="AK135" i="1" a="1"/>
  <c r="AK135" i="1" s="1"/>
  <c r="Q167" i="1"/>
  <c r="AK158" i="1" a="1"/>
  <c r="AK158" i="1" s="1"/>
  <c r="AK144" i="1" a="1"/>
  <c r="AK144" i="1" s="1"/>
  <c r="AK136" i="1" a="1"/>
  <c r="AK136" i="1" s="1"/>
  <c r="Q162" i="1"/>
  <c r="AK157" i="1" a="1"/>
  <c r="AK157" i="1" s="1"/>
  <c r="AK145" i="1" a="1"/>
  <c r="AK145" i="1" s="1"/>
  <c r="AK138" i="1" a="1"/>
  <c r="AK138" i="1" s="1"/>
  <c r="AK134" i="1" a="1"/>
  <c r="AK134" i="1" s="1"/>
  <c r="Q168" i="1"/>
  <c r="Q157" i="1"/>
  <c r="Q156" i="1"/>
  <c r="AK152" i="1" a="1"/>
  <c r="AK152" i="1" s="1"/>
  <c r="Q140" i="1"/>
  <c r="Q137" i="1"/>
  <c r="Q136" i="1"/>
  <c r="Q135" i="1"/>
  <c r="AK133" i="1" a="1"/>
  <c r="AK133" i="1" s="1"/>
  <c r="Q163" i="1"/>
  <c r="Q158" i="1"/>
  <c r="AK156" i="1" a="1"/>
  <c r="AK156" i="1" s="1"/>
  <c r="Q142" i="1"/>
  <c r="Q138" i="1"/>
  <c r="AK137" i="1" a="1"/>
  <c r="AK137" i="1" s="1"/>
  <c r="AK131" i="1" a="1"/>
  <c r="AK131" i="1" s="1"/>
  <c r="Q161" i="1"/>
  <c r="Q152" i="1"/>
  <c r="Q151" i="1"/>
  <c r="Q145" i="1"/>
  <c r="Q144" i="1"/>
  <c r="AK143" i="1" a="1"/>
  <c r="AK143" i="1" s="1"/>
  <c r="Q134" i="1"/>
  <c r="Q131" i="1"/>
  <c r="AK163" i="1" a="1"/>
  <c r="AK163" i="1" s="1"/>
  <c r="AK168" i="1" a="1"/>
  <c r="AK168" i="1" s="1"/>
  <c r="AK167" i="1" a="1"/>
  <c r="AK167" i="1" s="1"/>
  <c r="AK165" i="1" a="1"/>
  <c r="AK165" i="1" s="1"/>
  <c r="Q172" i="1"/>
  <c r="Q173" i="1"/>
  <c r="AK172" i="1" a="1"/>
  <c r="AK172" i="1" s="1"/>
  <c r="Q171" i="1"/>
  <c r="AK171" i="1" a="1"/>
  <c r="AK171" i="1" s="1"/>
  <c r="Q180" i="1"/>
  <c r="Q178" i="1"/>
  <c r="Q174" i="1"/>
  <c r="Q183" i="1"/>
  <c r="AK178" i="1" a="1"/>
  <c r="AK178" i="1" s="1"/>
  <c r="Q182" i="1"/>
  <c r="Q176" i="1"/>
  <c r="AK176" i="1" a="1"/>
  <c r="AK176" i="1" s="1"/>
  <c r="AK182" i="1" a="1"/>
  <c r="AK182" i="1" s="1"/>
  <c r="AK173" i="1" a="1"/>
  <c r="AK173" i="1" s="1"/>
  <c r="AK180" i="1" a="1"/>
  <c r="AK180" i="1" s="1"/>
  <c r="AK174" i="1" a="1"/>
  <c r="AK174" i="1" s="1"/>
  <c r="AK183" i="1" a="1"/>
  <c r="AK183" i="1" s="1"/>
  <c r="Q55" i="1"/>
  <c r="AK55" i="1" a="1"/>
  <c r="AK55" i="1" s="1"/>
  <c r="Q52" i="1"/>
  <c r="AK52" i="1" a="1"/>
  <c r="AK52" i="1" s="1"/>
  <c r="Q51" i="1"/>
  <c r="AK51" i="1" a="1"/>
  <c r="AK51" i="1" s="1"/>
  <c r="Q50" i="1"/>
  <c r="AK50" i="1" a="1"/>
  <c r="AK50" i="1" s="1"/>
  <c r="Q49" i="1"/>
  <c r="AK49" i="1" a="1"/>
  <c r="AK49" i="1" s="1"/>
  <c r="Q48" i="1"/>
  <c r="AK48" i="1" a="1"/>
  <c r="AK48" i="1" s="1"/>
  <c r="Q47" i="1"/>
  <c r="AK47" i="1" a="1"/>
  <c r="AK47" i="1" s="1"/>
  <c r="Q46" i="1"/>
  <c r="AK46" i="1" a="1"/>
  <c r="AK46" i="1" s="1"/>
  <c r="Q45" i="1"/>
  <c r="AK45" i="1" a="1"/>
  <c r="AK45" i="1" s="1"/>
  <c r="Q44" i="1"/>
  <c r="AK44" i="1" a="1"/>
  <c r="AK44" i="1" s="1"/>
  <c r="Q42" i="1"/>
  <c r="AK42" i="1" a="1"/>
  <c r="AK42" i="1" s="1"/>
  <c r="Q41" i="1"/>
  <c r="AK41" i="1" a="1"/>
  <c r="AK41" i="1" s="1"/>
  <c r="Q40" i="1"/>
  <c r="AK40" i="1" a="1"/>
  <c r="AK40" i="1" s="1"/>
  <c r="Q38" i="1"/>
  <c r="AK38" i="1" a="1"/>
  <c r="AK38" i="1" s="1"/>
  <c r="Q37" i="1"/>
  <c r="AK37" i="1" a="1"/>
  <c r="AK37" i="1" s="1"/>
  <c r="Q34" i="1"/>
  <c r="AK34" i="1" a="1"/>
  <c r="AK34" i="1" s="1"/>
  <c r="Q31" i="1"/>
  <c r="AK31" i="1" a="1"/>
  <c r="AK31" i="1" s="1"/>
  <c r="Q26" i="1"/>
  <c r="AK26" i="1" a="1"/>
  <c r="AK26" i="1" s="1"/>
  <c r="Q20" i="1"/>
  <c r="AK20" i="1" a="1"/>
  <c r="AK20" i="1" s="1"/>
  <c r="Q18" i="1"/>
  <c r="AK18" i="1" a="1"/>
  <c r="AK18" i="1" s="1"/>
  <c r="Q17" i="1"/>
  <c r="AK17" i="1" a="1"/>
  <c r="AK17" i="1" s="1"/>
  <c r="Q15" i="1"/>
  <c r="AK15" i="1" a="1"/>
  <c r="AK15" i="1" s="1"/>
  <c r="T1" i="3"/>
  <c r="G25" i="4"/>
  <c r="H25" i="4" s="1"/>
  <c r="G94" i="4"/>
  <c r="H94" i="4" s="1"/>
  <c r="G34" i="4"/>
  <c r="H34" i="4" s="1"/>
  <c r="G101" i="4"/>
  <c r="H101" i="4" s="1"/>
  <c r="G15" i="4"/>
  <c r="H15" i="4" s="1"/>
  <c r="G79" i="4"/>
  <c r="H79" i="4" s="1"/>
  <c r="G76" i="4"/>
  <c r="H76" i="4" s="1"/>
  <c r="G121" i="4"/>
  <c r="H121" i="4" s="1"/>
  <c r="G81" i="4"/>
  <c r="H81" i="4" s="1"/>
  <c r="G87" i="4"/>
  <c r="H87" i="4" s="1"/>
  <c r="G83" i="4"/>
  <c r="H83" i="4" s="1"/>
  <c r="AD16" i="2"/>
  <c r="AD12" i="2"/>
  <c r="AD11" i="2"/>
  <c r="AD6" i="2"/>
  <c r="AD9" i="2"/>
  <c r="AD3" i="2"/>
  <c r="AD4" i="2"/>
  <c r="AD5" i="2"/>
  <c r="AD7" i="2"/>
  <c r="AD10" i="2"/>
  <c r="AD8" i="2"/>
  <c r="A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tc={BF0E6A53-8306-4102-99C1-675066B61A36}</author>
  </authors>
  <commentList>
    <comment ref="AD1" authorId="0" shapeId="0" xr:uid="{BF0E6A53-8306-4102-99C1-675066B61A36}">
      <text>
        <t>[Threaded comment]
Your version of Excel allows you to read this threaded comment; however, any edits to it will get removed if the file is opened in a newer version of Excel. Learn more: https://go.microsoft.com/fwlink/?linkid=870924
Comment:
    Dans la liste de diffusion si:
- a cotisé cette saison
- est venu il y a moins de 12 mois
- est rentré dans l'annuaire il y a moins de 12 mois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6EC735-968E-4AC4-A92A-39CF1D4AF471}" keepAlive="1" name="Query - member_discord_pseudos" description="Connection to the 'member_discord_pseudos' query in the workbook." type="5" refreshedVersion="8" background="1" saveData="1">
    <dbPr connection="Provider=Microsoft.Mashup.OleDb.1;Data Source=$Workbook$;Location=member_discord_pseudos;Extended Properties=&quot;&quot;" command="SELECT * FROM [member_discord_pseudos]"/>
  </connection>
  <connection id="2" xr16:uid="{3509921E-B657-48AC-B8CB-CBB47FF9F4C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F1FD9F3-C46A-43FF-8A90-A15336DD0D4B}" name="WorksheetConnection_Annuaire &amp; Suivi 2.0.xlsx!annuaire" type="102" refreshedVersion="8" minRefreshableVersion="5">
    <extLst>
      <ext xmlns:x15="http://schemas.microsoft.com/office/spreadsheetml/2010/11/main" uri="{DE250136-89BD-433C-8126-D09CA5730AF9}">
        <x15:connection id="annuaire">
          <x15:rangePr sourceName="_xlcn.WorksheetConnection_AnnuaireSuivi2.0.xlsxannuaire"/>
        </x15:connection>
      </ext>
    </extLst>
  </connection>
  <connection id="4" xr16:uid="{43CD1E3C-4CC9-422A-B628-74B8A2A22CBD}" name="WorksheetConnection_Annuaire &amp; Suivi 2.0.xlsx!saisons" type="102" refreshedVersion="8" minRefreshableVersion="5">
    <extLst>
      <ext xmlns:x15="http://schemas.microsoft.com/office/spreadsheetml/2010/11/main" uri="{DE250136-89BD-433C-8126-D09CA5730AF9}">
        <x15:connection id="saisons">
          <x15:rangePr sourceName="_xlcn.WorksheetConnection_AnnuaireSuivi2.0.xlsxsaisons"/>
        </x15:connection>
      </ext>
    </extLst>
  </connection>
  <connection id="5" xr16:uid="{45DA1E3E-870E-4223-8FB8-7BA71834FD71}" name="WorksheetConnection_Annuaire &amp; Suivi 2.0.xlsx!suivi" type="102" refreshedVersion="8" minRefreshableVersion="5">
    <extLst>
      <ext xmlns:x15="http://schemas.microsoft.com/office/spreadsheetml/2010/11/main" uri="{DE250136-89BD-433C-8126-D09CA5730AF9}">
        <x15:connection id="suivi">
          <x15:rangePr sourceName="_xlcn.WorksheetConnection_AnnuaireSuivi2.0.xlsxsuivi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<sst xmlns="http://schemas.openxmlformats.org/spreadsheetml/2006/main" count="1344" uniqueCount="714">
  <si>
    <t>Evènement</t>
  </si>
  <si>
    <t>date</t>
  </si>
  <si>
    <t>compta.compte</t>
  </si>
  <si>
    <t>compta.credit</t>
  </si>
  <si>
    <t>compta.debit</t>
  </si>
  <si>
    <t>Chèque</t>
  </si>
  <si>
    <t>Cotisation</t>
  </si>
  <si>
    <t>Présence</t>
  </si>
  <si>
    <t>nom</t>
  </si>
  <si>
    <t>prenom</t>
  </si>
  <si>
    <t>adresse.numero</t>
  </si>
  <si>
    <t>adresse.cp</t>
  </si>
  <si>
    <t>adresse.ville</t>
  </si>
  <si>
    <t>Acosta</t>
  </si>
  <si>
    <t>Pamela</t>
  </si>
  <si>
    <t>Laurent</t>
  </si>
  <si>
    <t>Julien</t>
  </si>
  <si>
    <t>Christophe</t>
  </si>
  <si>
    <t>Aubry</t>
  </si>
  <si>
    <t>Clément</t>
  </si>
  <si>
    <t>Marie</t>
  </si>
  <si>
    <t>Virginie</t>
  </si>
  <si>
    <t>Berger</t>
  </si>
  <si>
    <t>Arnaud</t>
  </si>
  <si>
    <t>Bernardi</t>
  </si>
  <si>
    <t>Raphaël</t>
  </si>
  <si>
    <t>Olivier</t>
  </si>
  <si>
    <t>Berthenas</t>
  </si>
  <si>
    <t>Jean-Pierre</t>
  </si>
  <si>
    <t>Beylenans</t>
  </si>
  <si>
    <t>Jenny</t>
  </si>
  <si>
    <t>Billaud</t>
  </si>
  <si>
    <t>Claire</t>
  </si>
  <si>
    <t>Vincent</t>
  </si>
  <si>
    <t>Frédéric</t>
  </si>
  <si>
    <t>Jennifer</t>
  </si>
  <si>
    <t>Damien</t>
  </si>
  <si>
    <t>Boyon</t>
  </si>
  <si>
    <t>Nicolas</t>
  </si>
  <si>
    <t>Bret</t>
  </si>
  <si>
    <t>Steevy</t>
  </si>
  <si>
    <t>Brettnacher</t>
  </si>
  <si>
    <t>Olivia</t>
  </si>
  <si>
    <t>Thomas</t>
  </si>
  <si>
    <t>Bruez</t>
  </si>
  <si>
    <t>Cyriaque</t>
  </si>
  <si>
    <t>Bruno</t>
  </si>
  <si>
    <t>Buschini</t>
  </si>
  <si>
    <t>Sébastien</t>
  </si>
  <si>
    <t>Cailloce</t>
  </si>
  <si>
    <t>Stéphanie</t>
  </si>
  <si>
    <t>Thierry</t>
  </si>
  <si>
    <t>Camille</t>
  </si>
  <si>
    <t>Miguel</t>
  </si>
  <si>
    <t>Canadas</t>
  </si>
  <si>
    <t>Hugo</t>
  </si>
  <si>
    <t>Casamatta</t>
  </si>
  <si>
    <t>Clara</t>
  </si>
  <si>
    <t>Cassier-Carrée</t>
  </si>
  <si>
    <t>Aline</t>
  </si>
  <si>
    <t>Caulet</t>
  </si>
  <si>
    <t>Celebi</t>
  </si>
  <si>
    <t>Murat</t>
  </si>
  <si>
    <t>Chambaraud</t>
  </si>
  <si>
    <t>Chan Luin Kun</t>
  </si>
  <si>
    <t>Cheron</t>
  </si>
  <si>
    <t>Amélie</t>
  </si>
  <si>
    <t>Clerget</t>
  </si>
  <si>
    <t>Kevin</t>
  </si>
  <si>
    <t>Codreanu</t>
  </si>
  <si>
    <t>Catalin</t>
  </si>
  <si>
    <t>Nathalie</t>
  </si>
  <si>
    <t>Collange</t>
  </si>
  <si>
    <t>Creusel</t>
  </si>
  <si>
    <t>Florien</t>
  </si>
  <si>
    <t>Cuvelier</t>
  </si>
  <si>
    <t>Czerneski</t>
  </si>
  <si>
    <t>Léony</t>
  </si>
  <si>
    <t>Da Costa</t>
  </si>
  <si>
    <t>Elodie</t>
  </si>
  <si>
    <t>Dazan</t>
  </si>
  <si>
    <t>François</t>
  </si>
  <si>
    <t>De Grimouard</t>
  </si>
  <si>
    <t>Decaix</t>
  </si>
  <si>
    <t>Maxime</t>
  </si>
  <si>
    <t>Delassus</t>
  </si>
  <si>
    <t>Romain</t>
  </si>
  <si>
    <t>Deligny</t>
  </si>
  <si>
    <t>Audrey</t>
  </si>
  <si>
    <t>Florian</t>
  </si>
  <si>
    <t>Diaz</t>
  </si>
  <si>
    <t>Marlène</t>
  </si>
  <si>
    <t>Dumont</t>
  </si>
  <si>
    <t>Jean-Marc</t>
  </si>
  <si>
    <t>Dupiré</t>
  </si>
  <si>
    <t>Eggenspieler</t>
  </si>
  <si>
    <t>Fabien</t>
  </si>
  <si>
    <t>Maïté</t>
  </si>
  <si>
    <t>Espanet</t>
  </si>
  <si>
    <t>Isabelle</t>
  </si>
  <si>
    <t>Martin</t>
  </si>
  <si>
    <t>Fernandez</t>
  </si>
  <si>
    <t>Fraboul</t>
  </si>
  <si>
    <t>Baptiste</t>
  </si>
  <si>
    <t>Gaudé-Durand</t>
  </si>
  <si>
    <t>Pierre</t>
  </si>
  <si>
    <t>Quentin</t>
  </si>
  <si>
    <t>Sophie</t>
  </si>
  <si>
    <t>Goron</t>
  </si>
  <si>
    <t>Gremillon</t>
  </si>
  <si>
    <t>Joris</t>
  </si>
  <si>
    <t>Janina</t>
  </si>
  <si>
    <t>Charlie</t>
  </si>
  <si>
    <t>Lachgar</t>
  </si>
  <si>
    <t>Zakaria</t>
  </si>
  <si>
    <t>Lavagne</t>
  </si>
  <si>
    <t>Alexandre</t>
  </si>
  <si>
    <t>Le Maitre</t>
  </si>
  <si>
    <t>Ronan</t>
  </si>
  <si>
    <t>Etienne</t>
  </si>
  <si>
    <t>Lefebvre</t>
  </si>
  <si>
    <t>Marion</t>
  </si>
  <si>
    <t>Leonide</t>
  </si>
  <si>
    <t>Johan</t>
  </si>
  <si>
    <t>Leser</t>
  </si>
  <si>
    <t>Patrice</t>
  </si>
  <si>
    <t>Lhermet</t>
  </si>
  <si>
    <t>Lida</t>
  </si>
  <si>
    <t>Longelin</t>
  </si>
  <si>
    <t>Lopes</t>
  </si>
  <si>
    <t>Mathilde</t>
  </si>
  <si>
    <t>Lubin</t>
  </si>
  <si>
    <t>Jean-François</t>
  </si>
  <si>
    <t>Lusseau</t>
  </si>
  <si>
    <t>Elie</t>
  </si>
  <si>
    <t>Charlotte</t>
  </si>
  <si>
    <t>Paul</t>
  </si>
  <si>
    <t>Marbotte</t>
  </si>
  <si>
    <t>Théophile</t>
  </si>
  <si>
    <t>Mariat</t>
  </si>
  <si>
    <t>Benoît</t>
  </si>
  <si>
    <t>Mariaux</t>
  </si>
  <si>
    <t>Jérôme</t>
  </si>
  <si>
    <t>Masclef</t>
  </si>
  <si>
    <t>Clotilde</t>
  </si>
  <si>
    <t>Gilles</t>
  </si>
  <si>
    <t>Maufrois</t>
  </si>
  <si>
    <t>Priscilla</t>
  </si>
  <si>
    <t>Menard</t>
  </si>
  <si>
    <t>Matthieu</t>
  </si>
  <si>
    <t>Montegut</t>
  </si>
  <si>
    <t>Morin</t>
  </si>
  <si>
    <t>Laetitia</t>
  </si>
  <si>
    <t>Mouchet</t>
  </si>
  <si>
    <t>Agnès</t>
  </si>
  <si>
    <t>Muller-Thoma</t>
  </si>
  <si>
    <t>Laura</t>
  </si>
  <si>
    <t>Nougayrede</t>
  </si>
  <si>
    <t>Jean-Michel</t>
  </si>
  <si>
    <t>Pagnon</t>
  </si>
  <si>
    <t>Pahl</t>
  </si>
  <si>
    <t>Déborah</t>
  </si>
  <si>
    <t>Peccatte</t>
  </si>
  <si>
    <t>Rodolphe</t>
  </si>
  <si>
    <t>Perroy-Joseph</t>
  </si>
  <si>
    <t>Ketty</t>
  </si>
  <si>
    <t>Thibault</t>
  </si>
  <si>
    <t>Pham</t>
  </si>
  <si>
    <t>Jonathan</t>
  </si>
  <si>
    <t>Pietka</t>
  </si>
  <si>
    <t>Pilet</t>
  </si>
  <si>
    <t>Plaquin</t>
  </si>
  <si>
    <t>Qaouibaai</t>
  </si>
  <si>
    <t>Quatre-Sols</t>
  </si>
  <si>
    <t>Queré</t>
  </si>
  <si>
    <t>Ramage</t>
  </si>
  <si>
    <t>Rapp</t>
  </si>
  <si>
    <t>Laure</t>
  </si>
  <si>
    <t>Marine</t>
  </si>
  <si>
    <t>Renot</t>
  </si>
  <si>
    <t>Rocfort</t>
  </si>
  <si>
    <t>Rothier</t>
  </si>
  <si>
    <t>Yan</t>
  </si>
  <si>
    <t>Roumier</t>
  </si>
  <si>
    <t>Alexis</t>
  </si>
  <si>
    <t>Roy</t>
  </si>
  <si>
    <t>Célia</t>
  </si>
  <si>
    <t>Rudelli</t>
  </si>
  <si>
    <t>Saget</t>
  </si>
  <si>
    <t>Antoine</t>
  </si>
  <si>
    <t>Schaeffer</t>
  </si>
  <si>
    <t>Schlick</t>
  </si>
  <si>
    <t>Yann</t>
  </si>
  <si>
    <t>Sevel Tedesco</t>
  </si>
  <si>
    <t>Frédérique</t>
  </si>
  <si>
    <t>Sultana</t>
  </si>
  <si>
    <t>Talafré</t>
  </si>
  <si>
    <t>Paul-Antoine</t>
  </si>
  <si>
    <t>Tedesco</t>
  </si>
  <si>
    <t>Julie</t>
  </si>
  <si>
    <t>Vaulée</t>
  </si>
  <si>
    <t>Victorin</t>
  </si>
  <si>
    <t>Pascale</t>
  </si>
  <si>
    <t>Yon</t>
  </si>
  <si>
    <t>Bérengère</t>
  </si>
  <si>
    <t>Forum Asso</t>
  </si>
  <si>
    <t>Bouche à oreille</t>
  </si>
  <si>
    <t>Réseaux sociaux</t>
  </si>
  <si>
    <t>Autre</t>
  </si>
  <si>
    <t>Invité</t>
  </si>
  <si>
    <t>Membre</t>
  </si>
  <si>
    <t>Bureau - Communication</t>
  </si>
  <si>
    <t>Bureau - Président</t>
  </si>
  <si>
    <t>Bureau - Secrétaire</t>
  </si>
  <si>
    <t>Bureau - Trésorier</t>
  </si>
  <si>
    <t>Bureau - Admin</t>
  </si>
  <si>
    <t>Bureau - Autre</t>
  </si>
  <si>
    <t>id</t>
  </si>
  <si>
    <t>date_naissance</t>
  </si>
  <si>
    <t>connaissance</t>
  </si>
  <si>
    <t>enelyah</t>
  </si>
  <si>
    <t>Louise / NotaBeignet</t>
  </si>
  <si>
    <t>Colas</t>
  </si>
  <si>
    <t>Steuwix</t>
  </si>
  <si>
    <t>Sébastien B.</t>
  </si>
  <si>
    <t>moomootchoo</t>
  </si>
  <si>
    <t>oni51</t>
  </si>
  <si>
    <t>Areditman</t>
  </si>
  <si>
    <t>Degrimgrim</t>
  </si>
  <si>
    <t>Raphael</t>
  </si>
  <si>
    <t>Vida (Vincent)</t>
  </si>
  <si>
    <t>FabienEggenspieler</t>
  </si>
  <si>
    <t>thom</t>
  </si>
  <si>
    <t>Nicolas /perdu</t>
  </si>
  <si>
    <t>Modestie</t>
  </si>
  <si>
    <t>Benoît (_Bourjn_)</t>
  </si>
  <si>
    <t>olmenard</t>
  </si>
  <si>
    <t>Littleflea17</t>
  </si>
  <si>
    <t>Titine (Laetitia)</t>
  </si>
  <si>
    <t>Agnès / Quenouillette</t>
  </si>
  <si>
    <t>Jean-Ming</t>
  </si>
  <si>
    <t>Gothor</t>
  </si>
  <si>
    <t>Kethib</t>
  </si>
  <si>
    <t>Jonathan moderateur</t>
  </si>
  <si>
    <t>Christophe785</t>
  </si>
  <si>
    <t>Fred</t>
  </si>
  <si>
    <t>Batman le caped crusader</t>
  </si>
  <si>
    <t>dragonia</t>
  </si>
  <si>
    <t>Corwin33</t>
  </si>
  <si>
    <t>Vicky1_972</t>
  </si>
  <si>
    <t>adresse.type_voie</t>
  </si>
  <si>
    <t>avenue</t>
  </si>
  <si>
    <t>rue</t>
  </si>
  <si>
    <t>boulevard</t>
  </si>
  <si>
    <t>place</t>
  </si>
  <si>
    <t>allée</t>
  </si>
  <si>
    <t>impasse</t>
  </si>
  <si>
    <t>passage</t>
  </si>
  <si>
    <t>sente</t>
  </si>
  <si>
    <t>adresse.nom_voie</t>
  </si>
  <si>
    <t>adresse.autre</t>
  </si>
  <si>
    <t>Banque</t>
  </si>
  <si>
    <t>Gestion</t>
  </si>
  <si>
    <t>2024-2025</t>
  </si>
  <si>
    <t>helloAsso</t>
  </si>
  <si>
    <t>pseudo_discord</t>
  </si>
  <si>
    <t>creation.date</t>
  </si>
  <si>
    <t>propower</t>
  </si>
  <si>
    <t>Lescanne</t>
  </si>
  <si>
    <t>Benattar</t>
  </si>
  <si>
    <t>Pascal</t>
  </si>
  <si>
    <t>Devaux</t>
  </si>
  <si>
    <t>Molle</t>
  </si>
  <si>
    <t>Chloé</t>
  </si>
  <si>
    <t>Pinchon</t>
  </si>
  <si>
    <t>Félix</t>
  </si>
  <si>
    <t>Robin</t>
  </si>
  <si>
    <t>Haberer</t>
  </si>
  <si>
    <t>Vielle</t>
  </si>
  <si>
    <t>Tsubulle</t>
  </si>
  <si>
    <t>arkenys6496</t>
  </si>
  <si>
    <t>calypso9902</t>
  </si>
  <si>
    <t>dacyjono</t>
  </si>
  <si>
    <t>_._damien_._</t>
  </si>
  <si>
    <t>equinox7895</t>
  </si>
  <si>
    <t>feleacan</t>
  </si>
  <si>
    <t>flamentrosax</t>
  </si>
  <si>
    <t>fufuterie</t>
  </si>
  <si>
    <t>gaulois78</t>
  </si>
  <si>
    <t>ispagnac48</t>
  </si>
  <si>
    <t>jarell37</t>
  </si>
  <si>
    <t>kamesenil</t>
  </si>
  <si>
    <t>la_croziflette</t>
  </si>
  <si>
    <t>le.gobelin</t>
  </si>
  <si>
    <t>paul082553</t>
  </si>
  <si>
    <t>percebedaine</t>
  </si>
  <si>
    <t>romain_91262</t>
  </si>
  <si>
    <t>jallor</t>
  </si>
  <si>
    <t>seb_59</t>
  </si>
  <si>
    <t>tagdha</t>
  </si>
  <si>
    <t>thomasd9282</t>
  </si>
  <si>
    <t>symphoniae</t>
  </si>
  <si>
    <t>titi_jeux</t>
  </si>
  <si>
    <t>youruu</t>
  </si>
  <si>
    <t>Mélanie</t>
  </si>
  <si>
    <t>leKazoo</t>
  </si>
  <si>
    <t>octopurple1</t>
  </si>
  <si>
    <t>twiddy0097</t>
  </si>
  <si>
    <t>spectresse</t>
  </si>
  <si>
    <t>nom_userfriendly</t>
  </si>
  <si>
    <t>Capota</t>
  </si>
  <si>
    <t>Krassovich</t>
  </si>
  <si>
    <t>celia5766</t>
  </si>
  <si>
    <t>catalyn269</t>
  </si>
  <si>
    <t>agnes.quenouillette</t>
  </si>
  <si>
    <t>areditman</t>
  </si>
  <si>
    <t>ARKENYS</t>
  </si>
  <si>
    <t>audray0550</t>
  </si>
  <si>
    <t>mururoa</t>
  </si>
  <si>
    <t>cobbconnor</t>
  </si>
  <si>
    <t>restimel</t>
  </si>
  <si>
    <t>vbrett</t>
  </si>
  <si>
    <t>Calypso#1991</t>
  </si>
  <si>
    <t>darkirikiri</t>
  </si>
  <si>
    <t>_colas</t>
  </si>
  <si>
    <t>corwin33</t>
  </si>
  <si>
    <t>Dacyjono</t>
  </si>
  <si>
    <t>brunodegrim</t>
  </si>
  <si>
    <t>dragonia5</t>
  </si>
  <si>
    <t>lumbricus.terrestris</t>
  </si>
  <si>
    <t>elodie.d2</t>
  </si>
  <si>
    <t>eQuinox</t>
  </si>
  <si>
    <t>fabien_eggenspieler</t>
  </si>
  <si>
    <t>Feleacan</t>
  </si>
  <si>
    <t>Flamentrosax</t>
  </si>
  <si>
    <t>fred02696</t>
  </si>
  <si>
    <t>Gaulois</t>
  </si>
  <si>
    <t>.gothor</t>
  </si>
  <si>
    <t>erricomalatesta</t>
  </si>
  <si>
    <t>ierome</t>
  </si>
  <si>
    <t>isabelle_68630</t>
  </si>
  <si>
    <t>Jarell37</t>
  </si>
  <si>
    <t>.jeanming</t>
  </si>
  <si>
    <t>kashimi</t>
  </si>
  <si>
    <t>KameSenil</t>
  </si>
  <si>
    <t>kethib_75087</t>
  </si>
  <si>
    <t>laurent4353</t>
  </si>
  <si>
    <t>Le Gobelin</t>
  </si>
  <si>
    <t>Lexane</t>
  </si>
  <si>
    <t>littleflea17</t>
  </si>
  <si>
    <t>notabeignet</t>
  </si>
  <si>
    <t>modestie</t>
  </si>
  <si>
    <t>perdu79</t>
  </si>
  <si>
    <t>_inoh_</t>
  </si>
  <si>
    <t>Perce-Bedaine</t>
  </si>
  <si>
    <t>ProBot ✨</t>
  </si>
  <si>
    <t>swix129</t>
  </si>
  <si>
    <t>raph_igiari</t>
  </si>
  <si>
    <t>Romain / Jallor</t>
  </si>
  <si>
    <t>Seb D</t>
  </si>
  <si>
    <t>sebplusultra.</t>
  </si>
  <si>
    <t>kuro82</t>
  </si>
  <si>
    <t>fregelheart</t>
  </si>
  <si>
    <t>Simple Poll</t>
  </si>
  <si>
    <t>steuwix</t>
  </si>
  <si>
    <t>swarovski8127</t>
  </si>
  <si>
    <t>_thom._</t>
  </si>
  <si>
    <t>ThomasD</t>
  </si>
  <si>
    <t>Tim</t>
  </si>
  <si>
    <t>Titi</t>
  </si>
  <si>
    <t>titine0655</t>
  </si>
  <si>
    <t>tsubulle</t>
  </si>
  <si>
    <t>uru</t>
  </si>
  <si>
    <t>vicky1_972</t>
  </si>
  <si>
    <t>vidamocha</t>
  </si>
  <si>
    <t>visiteur0734</t>
  </si>
  <si>
    <t>zeldarck</t>
  </si>
  <si>
    <t>lekazoo.</t>
  </si>
  <si>
    <t>Octopurple</t>
  </si>
  <si>
    <t>Twiddy</t>
  </si>
  <si>
    <t>role_attendu</t>
  </si>
  <si>
    <t>mauvais_role</t>
  </si>
  <si>
    <t>asso</t>
  </si>
  <si>
    <t>discord</t>
  </si>
  <si>
    <t>saison.presence</t>
  </si>
  <si>
    <t>saison.cotis</t>
  </si>
  <si>
    <t>saison.asso_role</t>
  </si>
  <si>
    <t>liste_diffusion</t>
  </si>
  <si>
    <t>stats.cotis.nb</t>
  </si>
  <si>
    <t>stats.cotis.derniere</t>
  </si>
  <si>
    <t>stats.presence.nb</t>
  </si>
  <si>
    <t>stats.der_activite</t>
  </si>
  <si>
    <t>telephone</t>
  </si>
  <si>
    <t>Gillaizeau</t>
  </si>
  <si>
    <t>Lombard</t>
  </si>
  <si>
    <t>Pleinecassagne</t>
  </si>
  <si>
    <t>Lecomte</t>
  </si>
  <si>
    <t>Nadège</t>
  </si>
  <si>
    <t>Lemaur</t>
  </si>
  <si>
    <t>Maury</t>
  </si>
  <si>
    <t>Hector</t>
  </si>
  <si>
    <t>Savart</t>
  </si>
  <si>
    <t>slanycookson</t>
  </si>
  <si>
    <t>azenor la warrior</t>
  </si>
  <si>
    <t>Suzie</t>
  </si>
  <si>
    <t>Leguevel</t>
  </si>
  <si>
    <t>Lempeseur</t>
  </si>
  <si>
    <t>Spectresse (Pierre &amp; Laura)</t>
  </si>
  <si>
    <t>alphius</t>
  </si>
  <si>
    <t>Alphius</t>
  </si>
  <si>
    <t>gauvainlebourrin</t>
  </si>
  <si>
    <t>Slan</t>
  </si>
  <si>
    <t>julien03294</t>
  </si>
  <si>
    <t>camilleachille</t>
  </si>
  <si>
    <t>clairebill</t>
  </si>
  <si>
    <t>emails</t>
  </si>
  <si>
    <t>membre.id</t>
  </si>
  <si>
    <t>membre.asso_role</t>
  </si>
  <si>
    <t>membre.prive.nom</t>
  </si>
  <si>
    <t>membre.prive.prenom</t>
  </si>
  <si>
    <t>membre.prive.date_naissance</t>
  </si>
  <si>
    <t>membre.prive.adresse.numero</t>
  </si>
  <si>
    <t>membre.prive.adresse.type_voie</t>
  </si>
  <si>
    <t>membre.prive.adresse.nom_voie</t>
  </si>
  <si>
    <t>membre.prive.adresse.autre</t>
  </si>
  <si>
    <t>membre.prive.adresse.cp</t>
  </si>
  <si>
    <t>membre.prive.adresse.ville</t>
  </si>
  <si>
    <t>membre.prive.pseudo_discord</t>
  </si>
  <si>
    <t>membre.prive.assurance_resp_civile</t>
  </si>
  <si>
    <t>membre.prive.[emails]</t>
  </si>
  <si>
    <t>membre.prive.[telephone]</t>
  </si>
  <si>
    <t>membre.source_connaissance</t>
  </si>
  <si>
    <t>membre.prive.approbation_statuts</t>
  </si>
  <si>
    <t>membre.prive.utilisation_image</t>
  </si>
  <si>
    <t>Hoffman</t>
  </si>
  <si>
    <t>Bocken</t>
  </si>
  <si>
    <t>alexis.r5926</t>
  </si>
  <si>
    <t>chemin</t>
  </si>
  <si>
    <t>Espèce</t>
  </si>
  <si>
    <t>chromatiquechloe</t>
  </si>
  <si>
    <t>Alexis.R</t>
  </si>
  <si>
    <t>Info Membre</t>
  </si>
  <si>
    <t>Jego</t>
  </si>
  <si>
    <t>saison.utilisation_image</t>
  </si>
  <si>
    <t>saison.assurance_resp_civile</t>
  </si>
  <si>
    <t>saison.approbation_statuts</t>
  </si>
  <si>
    <t>#support.saison_en_cours</t>
  </si>
  <si>
    <t>entree.categorie</t>
  </si>
  <si>
    <t>entree.nom</t>
  </si>
  <si>
    <t>entree.detail</t>
  </si>
  <si>
    <t>Miguel / Shi</t>
  </si>
  <si>
    <t>Info Emargement</t>
  </si>
  <si>
    <t>sophiecl</t>
  </si>
  <si>
    <t>Gomes</t>
  </si>
  <si>
    <t>Benne</t>
  </si>
  <si>
    <t>Emmanuelle</t>
  </si>
  <si>
    <t>ponzu4301</t>
  </si>
  <si>
    <t>zakaria2804</t>
  </si>
  <si>
    <t>audrey00333</t>
  </si>
  <si>
    <t>ClaireB</t>
  </si>
  <si>
    <t>suzie________</t>
  </si>
  <si>
    <t>Mystifox</t>
  </si>
  <si>
    <t>mystifox.</t>
  </si>
  <si>
    <t>Bucamp</t>
  </si>
  <si>
    <t>kimakor</t>
  </si>
  <si>
    <t>Romain(yule )</t>
  </si>
  <si>
    <t>Vidal</t>
  </si>
  <si>
    <t>Cazier</t>
  </si>
  <si>
    <t>Hoang</t>
  </si>
  <si>
    <t>Khanh Phuong</t>
  </si>
  <si>
    <t>IronDale</t>
  </si>
  <si>
    <t>irondale</t>
  </si>
  <si>
    <t>keipi.h</t>
  </si>
  <si>
    <t>Gobelin / Dédale / Afterwork</t>
  </si>
  <si>
    <t>#support.evement</t>
  </si>
  <si>
    <t>Gariel</t>
  </si>
  <si>
    <t>Marco</t>
  </si>
  <si>
    <t>marcopptt</t>
  </si>
  <si>
    <t>2025-2026</t>
  </si>
  <si>
    <t>#support.nb_in_suivi</t>
  </si>
  <si>
    <t>Vitrac</t>
  </si>
  <si>
    <t>Alves</t>
  </si>
  <si>
    <t>Dries</t>
  </si>
  <si>
    <t>Brandicourt</t>
  </si>
  <si>
    <t>Aurélien</t>
  </si>
  <si>
    <t>Amorim</t>
  </si>
  <si>
    <t>Delaveau</t>
  </si>
  <si>
    <t>Christiane</t>
  </si>
  <si>
    <t>Lecoeur</t>
  </si>
  <si>
    <t>Céline</t>
  </si>
  <si>
    <t>Marchal</t>
  </si>
  <si>
    <t>Simon</t>
  </si>
  <si>
    <t>Tchouanang</t>
  </si>
  <si>
    <t>Daniella</t>
  </si>
  <si>
    <t>Mahot</t>
  </si>
  <si>
    <t>Steve</t>
  </si>
  <si>
    <t>Boum man</t>
  </si>
  <si>
    <t>boumman</t>
  </si>
  <si>
    <t>zyunn0213</t>
  </si>
  <si>
    <t>[1LQM] Zyunn</t>
  </si>
  <si>
    <t>zycker</t>
  </si>
  <si>
    <t>ZycKer</t>
  </si>
  <si>
    <t>celine0707</t>
  </si>
  <si>
    <t>nozyzy</t>
  </si>
  <si>
    <t>Doten</t>
  </si>
  <si>
    <t>doten78</t>
  </si>
  <si>
    <t>Yacoub G</t>
  </si>
  <si>
    <t>yacoub_78</t>
  </si>
  <si>
    <t>phoenix-71</t>
  </si>
  <si>
    <t>fr_phoenix71</t>
  </si>
  <si>
    <t>julien_r9798</t>
  </si>
  <si>
    <t>ermic</t>
  </si>
  <si>
    <t>adelo4597</t>
  </si>
  <si>
    <t>nifhell_origin</t>
  </si>
  <si>
    <t>Nifhell</t>
  </si>
  <si>
    <t>thib780401</t>
  </si>
  <si>
    <t>Thib78</t>
  </si>
  <si>
    <t>Chevalier Errant</t>
  </si>
  <si>
    <t>saison.precedente</t>
  </si>
  <si>
    <t>Velou</t>
  </si>
  <si>
    <t>Hall</t>
  </si>
  <si>
    <t>Da Mota</t>
  </si>
  <si>
    <t>Tania</t>
  </si>
  <si>
    <t>Fusade</t>
  </si>
  <si>
    <t>Aurore</t>
  </si>
  <si>
    <t>littleyuzuka</t>
  </si>
  <si>
    <t>LittleYuzuka</t>
  </si>
  <si>
    <t>krys0658</t>
  </si>
  <si>
    <t>Krys</t>
  </si>
  <si>
    <t>Charlotte.h78</t>
  </si>
  <si>
    <t>Paulo</t>
  </si>
  <si>
    <t>foomig</t>
  </si>
  <si>
    <t>peralta2097</t>
  </si>
  <si>
    <t>aquin94</t>
  </si>
  <si>
    <t>Aquin</t>
  </si>
  <si>
    <t>romain.s1985</t>
  </si>
  <si>
    <t>membre.nom_userfriendly</t>
  </si>
  <si>
    <t>Chevalier de l'assaut</t>
  </si>
  <si>
    <t>Ecuyer de l'assaut</t>
  </si>
  <si>
    <t>Id non attribués:</t>
  </si>
  <si>
    <t>Id manquants dans annuaire:</t>
  </si>
  <si>
    <t>#support.id</t>
  </si>
  <si>
    <t>#support.nom</t>
  </si>
  <si>
    <t>debut</t>
  </si>
  <si>
    <t>fin</t>
  </si>
  <si>
    <t>Saison en cours:</t>
  </si>
  <si>
    <t>arnauld_61512</t>
  </si>
  <si>
    <t>Arnauld</t>
  </si>
  <si>
    <t>hugo_oo78</t>
  </si>
  <si>
    <t>tyranass</t>
  </si>
  <si>
    <t>#support.saison</t>
  </si>
  <si>
    <t>Fadel</t>
  </si>
  <si>
    <t>Dania</t>
  </si>
  <si>
    <t>Leroy</t>
  </si>
  <si>
    <t>Zeldarck (Arnaud)</t>
  </si>
  <si>
    <t>name</t>
  </si>
  <si>
    <t>disp_name</t>
  </si>
  <si>
    <t>joined_at</t>
  </si>
  <si>
    <t>roles</t>
  </si>
  <si>
    <t>@everyone,bureau,admin</t>
  </si>
  <si>
    <t>@everyone,bureau</t>
  </si>
  <si>
    <t>@everyone,Ecuyer de l'assaut</t>
  </si>
  <si>
    <t>@everyone,Chevalier Errant</t>
  </si>
  <si>
    <t>@everyone,Artisan</t>
  </si>
  <si>
    <t>@everyone,Chevalier de l'assaut</t>
  </si>
  <si>
    <t>@everyone,Simple Poll</t>
  </si>
  <si>
    <t>peralta</t>
  </si>
  <si>
    <t>Cat</t>
  </si>
  <si>
    <t>Tagdha</t>
  </si>
  <si>
    <t>@everyone,ProBot ✨</t>
  </si>
  <si>
    <t>lexane2791</t>
  </si>
  <si>
    <t>Gauvain le Bourrin</t>
  </si>
  <si>
    <t>Chromatique Chloé</t>
  </si>
  <si>
    <t>Phuong Keipi</t>
  </si>
  <si>
    <t>Ermic</t>
  </si>
  <si>
    <t>VbrBot</t>
  </si>
  <si>
    <t>@everyone,VbrBot</t>
  </si>
  <si>
    <t>Vincent-Cenod</t>
  </si>
  <si>
    <t>Guérin</t>
  </si>
  <si>
    <t>Gautier</t>
  </si>
  <si>
    <t>Falaschi</t>
  </si>
  <si>
    <t>oasis7840</t>
  </si>
  <si>
    <t>Oasis</t>
  </si>
  <si>
    <t>gribouillelilou</t>
  </si>
  <si>
    <t>Gribouille</t>
  </si>
  <si>
    <t>In Discord</t>
  </si>
  <si>
    <t>Import date:</t>
  </si>
  <si>
    <t>Ⓑrett (Vincent)</t>
  </si>
  <si>
    <t>charlotte.h78_67813</t>
  </si>
  <si>
    <t>keflox</t>
  </si>
  <si>
    <t>epinie_e</t>
  </si>
  <si>
    <t>Epinie (marine D)</t>
  </si>
  <si>
    <t>ulysse_1501</t>
  </si>
  <si>
    <t>Ulysse</t>
  </si>
  <si>
    <t>@everyone</t>
  </si>
  <si>
    <t>al3x0164</t>
  </si>
  <si>
    <t>al3x</t>
  </si>
  <si>
    <t>#support.traite_manuel</t>
  </si>
  <si>
    <t>#support.traite</t>
  </si>
  <si>
    <t>Tania_Da_Mota</t>
  </si>
  <si>
    <t>Delacre</t>
  </si>
  <si>
    <t>melanie07872</t>
  </si>
  <si>
    <t>wookliliv</t>
  </si>
  <si>
    <t>amelierose07635</t>
  </si>
  <si>
    <t>Amelie rose</t>
  </si>
  <si>
    <t>ritsuna</t>
  </si>
  <si>
    <t>Dranguet</t>
  </si>
  <si>
    <t>Marjorie</t>
  </si>
  <si>
    <t>Matériel</t>
  </si>
  <si>
    <t>marge_78y</t>
  </si>
  <si>
    <t>saison.asso_role_manuel</t>
  </si>
  <si>
    <t>Robillard</t>
  </si>
  <si>
    <t>Dylan</t>
  </si>
  <si>
    <t>Plein</t>
  </si>
  <si>
    <t>Réduit</t>
  </si>
  <si>
    <t>Offert</t>
  </si>
  <si>
    <t>Inconnu</t>
  </si>
  <si>
    <t>val</t>
  </si>
  <si>
    <t>bureau</t>
  </si>
  <si>
    <t>admin</t>
  </si>
  <si>
    <t>Forum</t>
  </si>
  <si>
    <t>cotisation</t>
  </si>
  <si>
    <t>compta.commentaire</t>
  </si>
  <si>
    <t>log.commentaire</t>
  </si>
  <si>
    <t>commentaire_old</t>
  </si>
  <si>
    <t>ProBot ?</t>
  </si>
  <si>
    <t>first_name</t>
  </si>
  <si>
    <t>last_name</t>
  </si>
  <si>
    <t>birthdate</t>
  </si>
  <si>
    <t>AjBot</t>
  </si>
  <si>
    <t>check last name</t>
  </si>
  <si>
    <t>check first name</t>
  </si>
  <si>
    <t>check phone</t>
  </si>
  <si>
    <t>check discord</t>
  </si>
  <si>
    <t>dydybear</t>
  </si>
  <si>
    <t>daniella07269</t>
  </si>
  <si>
    <t>credential_id</t>
  </si>
  <si>
    <t>Wagner</t>
  </si>
  <si>
    <t>Lucas</t>
  </si>
  <si>
    <t>is_member</t>
  </si>
  <si>
    <t>is_subscriber</t>
  </si>
  <si>
    <t>is_manager</t>
  </si>
  <si>
    <t>is_owner</t>
  </si>
  <si>
    <t>is_past_subscriber</t>
  </si>
  <si>
    <t>691003175037042788</t>
  </si>
  <si>
    <t>Cotisant</t>
  </si>
  <si>
    <t>Cotisant saison préc</t>
  </si>
  <si>
    <t>Bot - ProBot</t>
  </si>
  <si>
    <t>wookliliv_62760</t>
  </si>
  <si>
    <t>zebulon0386</t>
  </si>
  <si>
    <t>1430301775864270919</t>
  </si>
  <si>
    <t>stats.cotis.premiere</t>
  </si>
  <si>
    <t>log_timestamp</t>
  </si>
  <si>
    <t>log_author_id</t>
  </si>
  <si>
    <t>1465046676988235887</t>
  </si>
  <si>
    <t>bureau,admin</t>
  </si>
  <si>
    <t>1465047049081979223</t>
  </si>
  <si>
    <t>1419044271595716765</t>
  </si>
  <si>
    <t>1465047359468732638</t>
  </si>
  <si>
    <t>1465047502712471552</t>
  </si>
  <si>
    <t>1419010453023227968</t>
  </si>
  <si>
    <t>Bot - VbrBot</t>
  </si>
  <si>
    <t>Bon</t>
  </si>
  <si>
    <t>Jean</t>
  </si>
  <si>
    <t>jean.bon@porci.net</t>
  </si>
  <si>
    <t>de l'abatoir</t>
  </si>
  <si>
    <t>Appt 2</t>
  </si>
  <si>
    <t>Ailleurs</t>
  </si>
  <si>
    <t>Oui</t>
  </si>
  <si>
    <t>Non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</si>
  <si>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</si>
  <si>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</si>
  <si>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</si>
  <si>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</si>
  <si>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</si>
  <si>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</si>
  <si>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</si>
  <si>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</si>
  <si>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</si>
  <si>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Forum associations 2019</t>
  </si>
  <si>
    <t>Epiphanie 2024</t>
  </si>
  <si>
    <t>Epiphanie 2025</t>
  </si>
  <si>
    <t>Soirée Jeux Duo</t>
  </si>
  <si>
    <t>Assemblée Générale 2025</t>
  </si>
  <si>
    <t>Vote présentiel</t>
  </si>
  <si>
    <t>Soirée Jeux Halloween</t>
  </si>
  <si>
    <t>Epiphanie 2026</t>
  </si>
  <si>
    <t>Annuaire Original</t>
  </si>
  <si>
    <t>#455</t>
  </si>
  <si>
    <t>Vote par pouvoir</t>
  </si>
  <si>
    <t>Entrée Discord</t>
  </si>
  <si>
    <t>Définition role asso</t>
  </si>
  <si>
    <t>#0000274</t>
  </si>
  <si>
    <t>#0000281</t>
  </si>
  <si>
    <t>Dupont</t>
  </si>
  <si>
    <t>Sais plus qui c'était!</t>
  </si>
  <si>
    <t>Forum associations 2023</t>
  </si>
  <si>
    <t>Emission Chèque 7036105 - Trésor Public</t>
  </si>
  <si>
    <t>Boisson galettes</t>
  </si>
  <si>
    <t>Galette Marianne</t>
  </si>
  <si>
    <t>Assemblée Générale 2024</t>
  </si>
  <si>
    <t>Remboursement Fabien boissons</t>
  </si>
  <si>
    <t>Forum associations 2024</t>
  </si>
  <si>
    <t>Emission Chèque 7036107 - Trésor Public - 03/09/2024</t>
  </si>
  <si>
    <t>Chèque #7036106 marqué au 5 juillet disparu</t>
  </si>
  <si>
    <t>Galette - le fournil des bocages</t>
  </si>
  <si>
    <t>Consommables - carrefour</t>
  </si>
  <si>
    <t>Boisson Nicolas</t>
  </si>
  <si>
    <t>Achat pour pot - Fabien</t>
  </si>
  <si>
    <t>Achat pour pot - Nicolas</t>
  </si>
  <si>
    <t>Forum associations 2025</t>
  </si>
  <si>
    <t>Emission Chèque XXXXX - Trésor Public - XX/09/2025</t>
  </si>
  <si>
    <t>Galette - graines de créateurs</t>
  </si>
  <si>
    <t>Boissons &amp; Consommables - Leclerc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</si>
</sst>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  <numFmt numFmtId="165" formatCode="0#&quot; &quot;##&quot; &quot;##&quot; &quot;##&quot; &quot;##"/>
    <numFmt numFmtId="166" formatCode="00000"/>
    <numFmt numFmtId="167" formatCode="0;\-0;;@"/>
    <numFmt numFmtId="168" formatCode="&quot;AJ-&quot;00000"/>
    <numFmt numFmtId="172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4" fillId="0" borderId="0" xfId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2" xfId="0" applyNumberFormat="1" applyBorder="1"/>
    <xf numFmtId="0" fontId="0" fillId="0" borderId="0" xfId="0" applyAlignment="1">
      <alignment textRotation="45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 indent="1"/>
    </xf>
    <xf numFmtId="168" fontId="0" fillId="0" borderId="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168" fontId="3" fillId="0" borderId="0" xfId="0" applyNumberFormat="1" applyFont="1" applyAlignment="1">
      <alignment horizontal="center"/>
    </xf>
    <xf numFmtId="22" fontId="0" fillId="0" borderId="0" xfId="0" applyNumberFormat="1"/>
    <xf numFmtId="22" fontId="3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164" fontId="0" fillId="0" borderId="0" xfId="0" applyNumberFormat="1"/>
    <xf numFmtId="164" fontId="0" fillId="0" borderId="0" xfId="3" applyNumberFormat="1" applyFont="1"/>
    <xf numFmtId="164" fontId="0" fillId="0" borderId="0" xfId="6" applyNumberFormat="1" applyFon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/>
    <xf numFmtId="168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/>
    <xf numFmtId="14" fontId="0" fillId="0" borderId="0" xfId="0" applyNumberFormat="1"/>
    <xf numFmtId="164" fontId="0" fillId="0" borderId="0" xfId="8" applyNumberFormat="1" applyFont="1"/>
    <xf numFmtId="0" fontId="0" fillId="0" borderId="0" xfId="0" applyAlignment="1">
      <alignment horizontal="center"/>
    </xf>
    <xf numFmtId="168" fontId="0" fillId="0" borderId="0" xfId="0" applyNumberFormat="1"/>
    <xf numFmtId="164" fontId="0" fillId="0" borderId="0" xfId="0" applyNumberFormat="1"/>
  </cellXfs>
  <cellStyles count="9">
    <cellStyle name="Currency 2" xfId="2" xr:uid="{B22ACF6F-F104-4461-B365-03F859405C05}"/>
    <cellStyle name="Currency 2 2" xfId="4" xr:uid="{A1509588-8218-4AE0-841B-0EE265356814}"/>
    <cellStyle name="Currency 2 3" xfId="6" xr:uid="{C6F2946F-94BD-4B84-8CA7-46EAEC2716A7}"/>
    <cellStyle name="Currency 2 4" xfId="8" xr:uid="{84171FCF-93E6-44FD-9AEF-6D74415DD276}"/>
    <cellStyle name="Currency 3" xfId="3" xr:uid="{6BC9651A-9114-4E78-B4DA-88D5807A53F9}"/>
    <cellStyle name="Currency 4" xfId="5" xr:uid="{CAB53DCF-A3BD-4693-B588-CEC6B7FFE4B9}"/>
    <cellStyle name="Currency 5" xfId="7" xr:uid="{DAB5D3F6-F08E-4029-8F85-1212CB394C4A}"/>
    <cellStyle name="Hyperlink" xfId="1" builtinId="8"/>
    <cellStyle name="Normal" xfId="0" builtinId="0"/>
  </cellStyles>
  <dxfs count="75">
    <dxf>
      <fill>
        <patternFill>
          <bgColor theme="2"/>
        </patternFill>
      </fill>
    </dxf>
    <dxf>
      <font>
        <color rgb="FFFF000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font>
        <b/>
      </font>
      <numFmt numFmtId="27" formatCode="dd/mm/yyyy\ hh:mm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AJ-&quot;00000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30" formatCode="@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0;\-0;;@"/>
      <alignment horizontal="center" vertical="bottom" textRotation="0" wrapText="0" indent="0" justifyLastLine="0" shrinkToFit="0" readingOrder="0"/>
    </dxf>
    <dxf>
      <numFmt numFmtId="167" formatCode="0;\-0;;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7" formatCode="0;\-0;;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7" formatCode="0;\-0;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68" formatCode="&quot;AJ-&quot;0000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#&quot; &quot;##&quot; &quot;##&quot; &quot;##&quot; &quot;##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_-* #,##0.00\ [$€-40C]_-;\-* #,##0.00\ [$€-40C]_-;_-* &quot;-&quot;??\ [$€-40C]_-;_-@_-"/>
    </dxf>
    <dxf>
      <numFmt numFmtId="164" formatCode="_-* #,##0.00\ [$€-40C]_-;\-* #,##0.00\ [$€-40C]_-;_-* &quot;-&quot;??\ [$€-40C]_-;_-@_-"/>
    </dxf>
    <dxf>
      <numFmt numFmtId="168" formatCode="&quot;AJ-&quot;0000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alignment horizontal="general" vertical="bottom" textRotation="45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9" Type="http://schemas.openxmlformats.org/officeDocument/2006/relationships/customXml" Target="../customXml/item26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42" Type="http://schemas.openxmlformats.org/officeDocument/2006/relationships/customXml" Target="../customXml/item29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41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40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4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43" Type="http://schemas.openxmlformats.org/officeDocument/2006/relationships/customXml" Target="../customXml/item30.xml"/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38" Type="http://schemas.openxmlformats.org/officeDocument/2006/relationships/customXml" Target="../customXml/item2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ncent Brettnacher" id="{8192691A-6B12-4787-9BEA-21109C80C006}" userId="Vincent Brettnacher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63E50-B280-44A4-A3A2-CF75C59361DA}" name="suivi" displayName="suivi" ref="A3:AK187" totalsRowShown="0" headerRowDxfId="74">
  <autoFilter ref="A3:AK187" xr:uid="{49263E50-B280-44A4-A3A2-CF75C59361DA}"/>
  <sortState xmlns:xlrd2="http://schemas.microsoft.com/office/spreadsheetml/2017/richdata2" ref="A4:AK187">
    <sortCondition ref="A4:A131"/>
    <sortCondition ref="G4:G131"/>
    <sortCondition ref="D4:D131"/>
  </sortState>
  <tableColumns count="37">
    <tableColumn id="1" xr3:uid="{0FB7B116-6348-48B2-A7F5-814AF3179BF5}" name="date" dataDxfId="73"/>
    <tableColumn id="17" xr3:uid="{F1F2C117-665F-477F-BD95-BB0041C7AC83}" name="#support.id" dataDxfId="72">
      <calculatedColumnFormula>ROW(suivi[[#This Row],['#support.id]])-ROW(suivi[[#Headers],['#support.saison_en_cours]])</calculatedColumnFormula>
    </tableColumn>
    <tableColumn id="6" xr3:uid="{B8D9A736-F077-4442-8547-273F679AD6E7}" name="#support.saison_en_cours" dataDxfId="71">
      <calculatedColumnFormula>IF(suivi[[#This Row],['#support.saison]]=saison_en_cours,1,"")</calculatedColumnFormula>
    </tableColumn>
    <tableColumn id="2" xr3:uid="{BA23A798-7F6D-427C-9B40-C03789560F73}" name="entree.categorie"/>
    <tableColumn id="8" xr3:uid="{06EE8F50-ADC1-469F-A257-1B881FC1D04A}" name="entree.nom"/>
    <tableColumn id="9" xr3:uid="{2188F7AA-4A84-4D90-AB77-881A8E7C786C}" name="entree.detail"/>
    <tableColumn id="3" xr3:uid="{ABA8EA9C-1765-4557-87BF-67B0FF95BFC3}" name="membre.id" dataDxfId="70"/>
    <tableColumn id="4" xr3:uid="{523E43C0-1B09-47B6-B082-EEE27DDB69A9}" name="membre.asso_role"/>
    <tableColumn id="10" xr3:uid="{8E7E02C9-395F-4778-AB77-9C3702D40C1C}" name="compta.compte"/>
    <tableColumn id="11" xr3:uid="{6C0800EE-FE32-40F0-A410-C7F858DF4C5C}" name="compta.credit" dataDxfId="69"/>
    <tableColumn id="12" xr3:uid="{F774AEB0-8555-4F47-9847-CA9DDD225974}" name="compta.debit" dataDxfId="68"/>
    <tableColumn id="13" xr3:uid="{84B0CF41-C9FF-492D-94D7-D3C997A14CF7}" name="commentaire_old"/>
    <tableColumn id="21" xr3:uid="{39CE650B-DC27-46D2-BA8E-F2B6B4110814}" name="cotisation"/>
    <tableColumn id="19" xr3:uid="{A70567D9-614C-4F73-BCBF-74A58F326A54}" name="compta.commentaire"/>
    <tableColumn id="22" xr3:uid="{684641E6-B5F4-4194-B997-8B8AD29AD098}" name="log.commentaire"/>
    <tableColumn id="5" xr3:uid="{816B3DC7-BBE2-4F16-A29F-8A315AF10782}" name="#support.nom" dataDxfId="67">
      <calculatedColumnFormula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calculatedColumnFormula>
    </tableColumn>
    <tableColumn id="14" xr3:uid="{E1D12192-CA60-42A9-8568-027210193B82}" name="#support.nb_in_suivi" dataDxfId="66">
      <calculatedColumnFormula>IF(suivi[[#This Row],['#support.nom]]="","",COUNTIF(suivi['#support.nom],suivi[[#This Row],['#support.nom]]))</calculatedColumnFormula>
    </tableColumn>
    <tableColumn id="38" xr3:uid="{D8643ECA-BC92-4E81-88C2-1FDAA7DD3234}" name="membre.prive.nom"/>
    <tableColumn id="39" xr3:uid="{02077F97-CABB-4F01-B2BE-D9AB1B20C587}" name="membre.prive.prenom"/>
    <tableColumn id="41" xr3:uid="{555C7914-BD43-40BE-9FE9-DD8B237FB9B2}" name="membre.prive.date_naissance" dataDxfId="65"/>
    <tableColumn id="42" xr3:uid="{0F695DE8-6E08-4A94-93CF-0793D9B4DEDF}" name="membre.prive.[emails]"/>
    <tableColumn id="43" xr3:uid="{AF632A15-866C-4FB0-9E3E-766612B21AA0}" name="membre.prive.[telephone]" dataDxfId="64"/>
    <tableColumn id="44" xr3:uid="{08934B32-772D-49B5-8CB1-00D28BBC345B}" name="membre.prive.adresse.numero"/>
    <tableColumn id="45" xr3:uid="{1947BEA6-C708-4BFB-BE93-E1921EBE2771}" name="membre.prive.adresse.type_voie"/>
    <tableColumn id="46" xr3:uid="{EA58EDE2-A198-427A-9277-214904629366}" name="membre.prive.adresse.nom_voie"/>
    <tableColumn id="47" xr3:uid="{979988A1-4C60-40CB-89B5-E979B08492F2}" name="membre.prive.adresse.autre"/>
    <tableColumn id="48" xr3:uid="{ED3F3719-ED2F-44C0-943D-DB97B6994687}" name="membre.prive.adresse.cp"/>
    <tableColumn id="49" xr3:uid="{25493EEA-021D-4412-9C30-45AC9FC2C30C}" name="membre.prive.adresse.ville"/>
    <tableColumn id="50" xr3:uid="{19B52014-9668-451C-92C9-2F9070CDB6CC}" name="membre.prive.pseudo_discord"/>
    <tableColumn id="51" xr3:uid="{31F0E451-5D1F-46B6-AAB6-AA80E3344A3D}" name="membre.prive.approbation_statuts"/>
    <tableColumn id="52" xr3:uid="{D2D0ED23-8C1D-42C9-B741-2AC1F9358A0E}" name="membre.prive.assurance_resp_civile"/>
    <tableColumn id="53" xr3:uid="{D158EA9B-843A-4033-9212-9823361AE8BB}" name="membre.prive.utilisation_image"/>
    <tableColumn id="54" xr3:uid="{0CD13690-1053-4811-BA82-7B1E841BE152}" name="membre.source_connaissance"/>
    <tableColumn id="18" xr3:uid="{5EE53ED3-6EB5-4A51-BECF-50A1BFE8D72A}" name="#support.saison" dataDxfId="63">
      <calculatedColumnFormula array="1">_xlfn._xlws.FILTER(saisons[nom],(saisons[debut]&lt;=suivi[[#This Row],[date]])*(saisons[fin]&gt;=suivi[[#This Row],[date]]))</calculatedColumnFormula>
    </tableColumn>
    <tableColumn id="7" xr3:uid="{96E2DB9A-0E39-4E21-B4D1-E2F224AC1373}" name="#support.evement" dataDxfId="62">
      <calculatedColumnFormula>MIN(COUNTIFS(suivi[entree.categorie],"Evènement",suivi[entree.nom],suivi[[#This Row],[entree.nom]]),1)</calculatedColumnFormula>
    </tableColumn>
    <tableColumn id="15" xr3:uid="{A9BF3F90-5224-4768-AC06-557C84EAA670}" name="#support.traite_manuel"/>
    <tableColumn id="16" xr3:uid="{D3F5759F-FB99-494B-AEB5-10F386E8FAF9}" name="#support.traite" dataDxfId="61">
      <calculatedColumnFormula array="1">IFERROR(_xlfn.TEXTJOIN(",",TRUE,_xlfn.UNIQUE(_xlfn._xlws.FILTER(suivi['#support.traite_manuel],(suivi[[#This Row],['#support.nom]]&lt;&gt;"")*(suivi['#support.nom]=suivi[[#This Row],['#support.nom]])))),"-")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521B27-0225-4CC8-8147-9E4CD5FF5EAB}" name="annuaire" displayName="annuaire" ref="A1:AF21" totalsRowShown="0">
  <autoFilter ref="A1:AF21" xr:uid="{C0521B27-0225-4CC8-8147-9E4CD5FF5EAB}"/>
  <sortState xmlns:xlrd2="http://schemas.microsoft.com/office/spreadsheetml/2017/richdata2" ref="A2:AE21">
    <sortCondition ref="A2:A21"/>
  </sortState>
  <tableColumns count="32">
    <tableColumn id="1" xr3:uid="{2EF34ACA-1DA4-4BB4-AF29-CDC52C33FB0D}" name="id" dataDxfId="60"/>
    <tableColumn id="41" xr3:uid="{0677CC2C-1555-4F0E-B887-88DF46FEFDB9}" name="creation.date" dataDxfId="59">
      <calculatedColumnFormula>_xlfn.MINIFS(suivi[date],suivi[membre.id],annuaire[[#This Row],[id]])</calculatedColumnFormula>
    </tableColumn>
    <tableColumn id="8" xr3:uid="{2B9D691A-DDEC-4140-8118-D2B7A9171DD4}" name="nom" dataDxfId="58">
      <calculatedColumnFormula array="1">_xlfn.LET(_xlpm.champ,suivi[membre.prive.nom],
_xlpm.liste_unique,IFERROR(_xlfn.UNIQUE(_xlfn._xlws.FILTER(_xlpm.champ,(_xlpm.champ&lt;&gt;"")*(suivi[membre.id]=annuaire[[#This Row],[id]]))),""),
INDEX(_xlpm.liste_unique,ROWS(_xlpm.liste_unique)))</calculatedColumnFormula>
    </tableColumn>
    <tableColumn id="35" xr3:uid="{1AAC6656-6D6A-4A84-99B8-4E19DED9A082}" name="prenom" dataDxfId="57">
      <calculatedColumnFormula array="1">_xlfn.LET(_xlpm.champ,suivi[membre.prive.prenom],
_xlpm.liste_unique,IFERROR(_xlfn.UNIQUE(_xlfn._xlws.FILTER(_xlpm.champ,(_xlpm.champ&lt;&gt;"")*(suivi[membre.id]=annuaire[[#This Row],[id]]))),""),
INDEX(_xlpm.liste_unique,ROWS(_xlpm.liste_unique)))</calculatedColumnFormula>
    </tableColumn>
    <tableColumn id="37" xr3:uid="{CF2876AF-621B-44F5-9CBA-53C37D1D09A3}" name="date_naissance" dataDxfId="56">
      <calculatedColumnFormula array="1">_xlfn.LET(_xlpm.champ,suivi[membre.prive.date_naissance],
_xlpm.liste_unique,IFERROR(_xlfn.UNIQUE(_xlfn._xlws.FILTER(_xlpm.champ,(_xlpm.champ&lt;&gt;"")*(suivi[membre.id]=annuaire[[#This Row],[id]]))),""),
INDEX(_xlpm.liste_unique,ROWS(_xlpm.liste_unique)))</calculatedColumnFormula>
    </tableColumn>
    <tableColumn id="38" xr3:uid="{B5FD73F2-A142-4350-BE3A-56A163B09401}" name="emails" dataDxfId="55">
      <calculatedColumnFormula array="1">_xlfn.LET(_xlpm.champ,suivi[membre.prive.'[emails']],
_xlpm.liste_unique,IFERROR(_xlfn.UNIQUE(_xlfn._xlws.FILTER(_xlpm.champ,(_xlpm.champ&lt;&gt;"")*(suivi[membre.id]=annuaire[[#This Row],[id]]))),""),
INDEX(_xlpm.liste_unique,ROWS(_xlpm.liste_unique)))</calculatedColumnFormula>
    </tableColumn>
    <tableColumn id="39" xr3:uid="{7EC7E289-AA57-4D6B-9240-06886DAF78AE}" name="telephone" dataDxfId="54">
      <calculatedColumnFormula array="1">_xlfn.LET(_xlpm.champ,suivi[membre.prive.'[telephone']],
_xlpm.liste_unique,IFERROR(_xlfn.UNIQUE(_xlfn._xlws.FILTER(_xlpm.champ,(_xlpm.champ&lt;&gt;"")*(suivi[membre.id]=annuaire[[#This Row],[id]]))),""),
INDEX(_xlpm.liste_unique,ROWS(_xlpm.liste_unique)))</calculatedColumnFormula>
    </tableColumn>
    <tableColumn id="33" xr3:uid="{A6B93A0F-4C0C-417E-9714-A90931CEAA1C}" name="adresse.numero" dataDxfId="53">
      <calculatedColumnFormula array="1">_xlfn.LET(_xlpm.champ,suivi[membre.prive.adresse.numero],
_xlpm.liste_unique,IFERROR(_xlfn.UNIQUE(_xlfn._xlws.FILTER(_xlpm.champ,(_xlpm.champ&lt;&gt;"")*(suivi[membre.id]=annuaire[[#This Row],[id]]))),""),
INDEX(_xlpm.liste_unique,ROWS(_xlpm.liste_unique)))</calculatedColumnFormula>
    </tableColumn>
    <tableColumn id="43" xr3:uid="{F51FA5C7-AC35-45EE-9628-A367ECC94C1D}" name="adresse.type_voie" dataDxfId="52">
      <calculatedColumnFormula array="1">_xlfn.LET(_xlpm.champ,suivi[membre.prive.adresse.type_voie],
_xlpm.liste_unique,IFERROR(_xlfn.UNIQUE(_xlfn._xlws.FILTER(_xlpm.champ,(_xlpm.champ&lt;&gt;"")*(suivi[membre.id]=annuaire[[#This Row],[id]]))),""),
INDEX(_xlpm.liste_unique,ROWS(_xlpm.liste_unique)))</calculatedColumnFormula>
    </tableColumn>
    <tableColumn id="44" xr3:uid="{1599FCD6-E3AC-41C8-8B31-284CEF4E6C5F}" name="adresse.nom_voie" dataDxfId="51">
      <calculatedColumnFormula array="1">_xlfn.LET(_xlpm.champ,suivi[membre.prive.adresse.nom_voie],
_xlpm.liste_unique,IFERROR(_xlfn.UNIQUE(_xlfn._xlws.FILTER(_xlpm.champ,(_xlpm.champ&lt;&gt;"")*(suivi[membre.id]=annuaire[[#This Row],[id]]))),""),
INDEX(_xlpm.liste_unique,ROWS(_xlpm.liste_unique)))</calculatedColumnFormula>
    </tableColumn>
    <tableColumn id="45" xr3:uid="{B96B9DE2-9AFB-4DCE-B869-C66CAE76A241}" name="adresse.autre" dataDxfId="50">
      <calculatedColumnFormula array="1">_xlfn.LET(_xlpm.champ,suivi[membre.prive.adresse.autre],
_xlpm.liste_unique,IFERROR(_xlfn.UNIQUE(_xlfn._xlws.FILTER(_xlpm.champ,(_xlpm.champ&lt;&gt;"")*(suivi[membre.id]=annuaire[[#This Row],[id]]))),""),
INDEX(_xlpm.liste_unique,ROWS(_xlpm.liste_unique)))</calculatedColumnFormula>
    </tableColumn>
    <tableColumn id="46" xr3:uid="{39DA8383-C837-4530-A4A6-D7C3CCD67454}" name="adresse.cp" dataDxfId="49">
      <calculatedColumnFormula array="1">_xlfn.LET(_xlpm.champ,suivi[membre.prive.adresse.cp],
_xlpm.liste_unique,IFERROR(_xlfn.UNIQUE(_xlfn._xlws.FILTER(_xlpm.champ,(_xlpm.champ&lt;&gt;"")*(suivi[membre.id]=annuaire[[#This Row],[id]]))),""),
INDEX(_xlpm.liste_unique,ROWS(_xlpm.liste_unique)))</calculatedColumnFormula>
    </tableColumn>
    <tableColumn id="47" xr3:uid="{6F74C59D-E621-41DE-B3EF-2E2109280CA1}" name="adresse.ville" dataDxfId="48">
      <calculatedColumnFormula array="1">_xlfn.LET(_xlpm.champ,suivi[membre.prive.adresse.ville],
_xlpm.liste_unique,IFERROR(_xlfn.UNIQUE(_xlfn._xlws.FILTER(_xlpm.champ,(_xlpm.champ&lt;&gt;"")*(suivi[membre.id]=annuaire[[#This Row],[id]]))),""),
INDEX(_xlpm.liste_unique,ROWS(_xlpm.liste_unique)))</calculatedColumnFormula>
    </tableColumn>
    <tableColumn id="40" xr3:uid="{1081904D-8FBB-4544-AC0D-FE0BF2EF1BA6}" name="pseudo_discord" dataDxfId="47">
      <calculatedColumnFormula array="1">_xlfn.LET(_xlpm.champ,suivi[membre.prive.pseudo_discord],
_xlpm.liste_unique,IFERROR(_xlfn.UNIQUE(_xlfn._xlws.FILTER(_xlpm.champ,(_xlpm.champ&lt;&gt;"")*(suivi[membre.id]=annuaire[[#This Row],[id]]))),""),
INDEX(_xlpm.liste_unique,ROWS(_xlpm.liste_unique)))</calculatedColumnFormula>
    </tableColumn>
    <tableColumn id="51" xr3:uid="{27F4A666-DFD0-4275-9E2C-9B28BEA8E39D}" name="connaissance" dataDxfId="46">
      <calculatedColumnFormula array="1">_xlfn.LET(_xlpm.champ,suivi[membre.source_connaissance],
_xlpm.liste_unique,IFERROR(_xlfn.UNIQUE(_xlfn._xlws.FILTER(_xlpm.champ,(_xlpm.champ&lt;&gt;"")*(suivi[membre.id]=annuaire[[#This Row],[id]]))),""),
INDEX(_xlpm.liste_unique,ROWS(_xlpm.liste_unique)))</calculatedColumnFormula>
    </tableColumn>
    <tableColumn id="4" xr3:uid="{D723C34E-057C-480D-997D-9554168CE84A}" name="nom_userfriendly" dataDxfId="45">
      <calculatedColumnFormula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calculatedColumnFormula>
    </tableColumn>
    <tableColumn id="24" xr3:uid="{569F5E4A-3A80-433D-B25B-075FBB39D078}" name="stats.cotis.nb" dataDxfId="44">
      <calculatedColumnFormula>COUNTIFS(suivi[entree.categorie],cotisation,suivi[membre.id],annuaire[[#This Row],[id]])</calculatedColumnFormula>
    </tableColumn>
    <tableColumn id="6" xr3:uid="{7E127573-2A52-4D5F-BE4C-992F552EF344}" name="stats.cotis.premiere" dataDxfId="43">
      <calculatedColumnFormula>_xlfn.LET(_xlpm.der_pres,_xlfn.MINIFS(suivi[date],suivi[entree.categorie],cotisation,suivi[membre.id],annuaire[[#This Row],[id]]),
IF(_xlpm.der_pres=0,"",_xlpm.der_pres))</calculatedColumnFormula>
    </tableColumn>
    <tableColumn id="32" xr3:uid="{4EF1E69E-E600-4EAE-8E58-C1C998EAF964}" name="stats.cotis.derniere" dataDxfId="42">
      <calculatedColumnFormula>_xlfn.LET(_xlpm.der_pres,_xlfn.MAXIFS(suivi[date],suivi[entree.categorie],cotisation,suivi[membre.id],annuaire[[#This Row],[id]]),
IF(_xlpm.der_pres=0,"",_xlpm.der_pres))</calculatedColumnFormula>
    </tableColumn>
    <tableColumn id="23" xr3:uid="{E6FA7A84-E5BA-4D45-ADA9-24089E4B6B16}" name="stats.presence.nb" dataDxfId="41">
      <calculatedColumnFormula>COUNTIFS(suivi[entree.categorie],presence,suivi[membre.id],annuaire[[#This Row],[id]])</calculatedColumnFormula>
    </tableColumn>
    <tableColumn id="31" xr3:uid="{5B2B98F7-7013-43BA-B542-7D70671BF1E9}" name="stats.der_activite" dataDxfId="40">
      <calculatedColumnFormula>_xlfn.MAXIFS(suivi[date],suivi[membre.id],annuaire[[#This Row],[id]])</calculatedColumnFormula>
    </tableColumn>
    <tableColumn id="27" xr3:uid="{55A7F7BF-DA5A-4EB3-92E1-015037DB2F9E}" name="saison.presence" dataDxfId="39">
      <calculatedColumnFormula>COUNTIFS(suivi[entree.categorie],presence,suivi[membre.id],annuaire[[#This Row],[id]],suivi['#support.saison_en_cours],1)</calculatedColumnFormula>
    </tableColumn>
    <tableColumn id="17" xr3:uid="{D89BC048-7C42-4172-9DDF-A687D2A0196E}" name="saison.cotis" dataDxfId="38">
      <calculatedColumnFormula>IF(COUNTIFS(suivi[entree.categorie],cotisation,suivi[membre.id],annuaire[[#This Row],[id]],suivi['#support.saison_en_cours],1)&gt;0,1,0)</calculatedColumnFormula>
    </tableColumn>
    <tableColumn id="2" xr3:uid="{70F84B50-BB0A-4F61-8403-3442D8F89C0E}" name="saison.precedente" dataDxfId="37">
      <calculatedColumnFormula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calculatedColumnFormula>
    </tableColumn>
    <tableColumn id="5" xr3:uid="{B4FCD938-2E0E-47DE-9BFC-F61338F1C893}" name="saison.asso_role_manuel" dataDxfId="36">
      <calculatedColumnFormula array="1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calculatedColumnFormula>
    </tableColumn>
    <tableColumn id="28" xr3:uid="{28FDA318-DD65-4755-A57A-F4F6888B35AC}" name="saison.asso_role" dataDxfId="35">
      <calculatedColumnFormula>IF(annuaire[[#This Row],[saison.asso_role_manuel]]&lt;&gt;"",annuaire[[#This Row],[saison.asso_role_manuel]],
IF(annuaire[[#This Row],[saison.cotis]]&gt;0,cotisant,
IF(annuaire[[#This Row],[saison.precedente]],cotisant_saison_prec,
"")))</calculatedColumnFormula>
    </tableColumn>
    <tableColumn id="49" xr3:uid="{A4769F69-6147-46BD-9872-61BA71FAA601}" name="saison.approbation_statuts" dataDxfId="34">
      <calculatedColumnFormula array="1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calculatedColumnFormula>
    </tableColumn>
    <tableColumn id="48" xr3:uid="{C89680B0-9D65-49AF-A907-C029CFA222AF}" name="saison.assurance_resp_civile" dataDxfId="33">
      <calculatedColumnFormula array="1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calculatedColumnFormula>
    </tableColumn>
    <tableColumn id="50" xr3:uid="{5BE4E685-EE59-41AC-8EE9-2B78320891FB}" name="saison.utilisation_image" dataDxfId="32">
      <calculatedColumnFormula array="1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calculatedColumnFormula>
    </tableColumn>
    <tableColumn id="29" xr3:uid="{5AE31A65-8DEA-4D45-A407-78AFEA2D4142}" name="liste_diffusion" dataDxfId="31">
      <calculatedColumnFormula>IF(OR(annuaire[[#This Row],[saison.cotis]]=1,annuaire[[#This Row],[stats.der_activite]]&gt;EDATE(TODAY(),-12)),1,"")</calculatedColumnFormula>
    </tableColumn>
    <tableColumn id="42" xr3:uid="{109151D1-3B99-445F-B439-73F903ADC1FD}" name="Info Emargement" dataDxfId="30">
      <calculatedColumnFormula>IF(annuaire[[#This Row],[saison.presence]]=0,"",IF(annuaire[[#This Row],[saison.cotis]]=1," ", annuaire[[#This Row],[saison.presence]]))</calculatedColumnFormula>
    </tableColumn>
    <tableColumn id="3" xr3:uid="{3606EFBE-DBA9-49AB-B85C-3A3C59D1CFD9}" name="In Discord" dataDxfId="29">
      <calculatedColumnFormula>IF(annuaire[[#This Row],[pseudo_discord]]="","",MATCH(annuaire[[#This Row],[pseudo_discord]],discord[name],0))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55D1F-DB3F-4D37-8F24-A4BC998D5010}" name="saisons" displayName="saisons" ref="A4:C15" totalsRowShown="0">
  <autoFilter ref="A4:C15" xr:uid="{E5655D1F-DB3F-4D37-8F24-A4BC998D5010}"/>
  <tableColumns count="3">
    <tableColumn id="1" xr3:uid="{95267D83-D39A-4269-A148-1D92E5C05FB5}" name="nom"/>
    <tableColumn id="2" xr3:uid="{F7271342-DC70-47C7-A30C-7A93245DF20D}" name="debut" dataDxfId="28"/>
    <tableColumn id="3" xr3:uid="{3C86CC9B-6D67-4CB2-A3C1-397CC509608D}" name="fin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6924F1-AAF3-4609-8E72-1C2C4CAE5AFE}" name="categories" displayName="categories" ref="A1:A8" totalsRowShown="0">
  <autoFilter ref="A1:A8" xr:uid="{DD6924F1-AAF3-4609-8E72-1C2C4CAE5AFE}"/>
  <tableColumns count="1">
    <tableColumn id="1" xr3:uid="{165A4BFB-A185-4EC9-BE6E-BF6BADFD3894}" name="v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B811D6-0255-462F-AC4D-B06A1EB68961}" name="contribution" displayName="contribution" ref="B9:B14" totalsRowShown="0">
  <autoFilter ref="B9:B14" xr:uid="{81B811D6-0255-462F-AC4D-B06A1EB68961}"/>
  <tableColumns count="1">
    <tableColumn id="1" xr3:uid="{202F31CB-D273-483A-B2C5-52D257B70143}" name="v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09D7D4-1108-4027-AD07-F5E9E6244BA4}" name="connaissance" displayName="connaissance" ref="C1:C6" totalsRowShown="0">
  <autoFilter ref="C1:C6" xr:uid="{6409D7D4-1108-4027-AD07-F5E9E6244BA4}"/>
  <tableColumns count="1">
    <tableColumn id="1" xr3:uid="{570D3EB2-B399-4267-A000-07C18A131A02}" name="v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4ADE80-E916-4F73-ABB9-F4E53E3434A9}" name="discord_role" displayName="discord_role" ref="E1:F9" totalsRowShown="0">
  <autoFilter ref="E1:F9" xr:uid="{7F4ADE80-E916-4F73-ABB9-F4E53E3434A9}"/>
  <tableColumns count="2">
    <tableColumn id="1" xr3:uid="{E9304D00-4483-4FDA-AD5D-D0BB493D070F}" name="val"/>
    <tableColumn id="2" xr3:uid="{38243403-1D02-4464-A579-EBD5003D0657}" name="id" dataDxfId="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DBF2F1-EB2F-44AC-87FE-C79CF878119F}" name="compte" displayName="compte" ref="H1:H5" totalsRowShown="0">
  <autoFilter ref="H1:H5" xr:uid="{7ADBF2F1-EB2F-44AC-87FE-C79CF878119F}"/>
  <tableColumns count="1">
    <tableColumn id="1" xr3:uid="{EEAE7CEF-4DEC-4959-972D-179B78581A1E}" name="v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EF0AEC-0ECC-49A4-9172-90EC8CD69EEF}" name="roles" displayName="roles" ref="J1:P13" totalsRowShown="0">
  <autoFilter ref="J1:P13" xr:uid="{3BEF0AEC-0ECC-49A4-9172-90EC8CD69EEF}"/>
  <tableColumns count="7">
    <tableColumn id="1" xr3:uid="{74BD335C-65F8-426D-9D13-EEB2CF27AD69}" name="asso"/>
    <tableColumn id="2" xr3:uid="{980961AF-06B3-4721-90A5-53E21EDDEAFC}" name="discord"/>
    <tableColumn id="3" xr3:uid="{0BCF7061-558B-4351-9031-FA74CC413F28}" name="is_member"/>
    <tableColumn id="4" xr3:uid="{3D1ED586-BEAB-45ED-9266-BD6A36723098}" name="is_past_subscriber"/>
    <tableColumn id="5" xr3:uid="{2190B6D7-DC90-4CDC-A061-B268F5AA301D}" name="is_subscriber"/>
    <tableColumn id="6" xr3:uid="{658A9C4B-91F2-4433-93FF-DEFAB5A0CA4F}" name="is_manager"/>
    <tableColumn id="7" xr3:uid="{1D952CF2-2EC4-4E01-A393-1D049D183AF3}" name="is_own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0243EF-7937-4973-9B11-FABEE4E994B9}" name="type_voie" displayName="type_voie" ref="R1:R10" totalsRowShown="0">
  <autoFilter ref="R1:R10" xr:uid="{EA0243EF-7937-4973-9B11-FABEE4E994B9}"/>
  <tableColumns count="1">
    <tableColumn id="1" xr3:uid="{08BB9B17-85F1-40C6-8F22-9A35AACCC2D1}" name="v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1E117C-78FD-492D-850A-8BCBDB8EDD02}" name="discord" displayName="discord" ref="A2:H124" totalsRowShown="0">
  <autoFilter ref="A2:H124" xr:uid="{581E117C-78FD-492D-850A-8BCBDB8EDD02}"/>
  <tableColumns count="8">
    <tableColumn id="1" xr3:uid="{15BB547E-2EF0-499A-BFB5-C9B05D444B9F}" name="name" dataDxfId="25"/>
    <tableColumn id="2" xr3:uid="{3F3234C1-EC50-41A5-98F3-1EF0E1993A3F}" name="disp_name" dataDxfId="24"/>
    <tableColumn id="3" xr3:uid="{D1BC44ED-2DCD-475D-8BEE-C08730CD3955}" name="joined_at" dataDxfId="23"/>
    <tableColumn id="4" xr3:uid="{98470F2B-CD46-4763-9A76-A0D597048EC1}" name="roles" dataDxfId="22"/>
    <tableColumn id="6" xr3:uid="{39AD6D63-ABE6-4665-82F1-A2CE0A514AC3}" name="membre.id" dataDxfId="21">
      <calculatedColumnFormula>_xlfn.LET(
_xlpm.ligne_pseudo,MATCH(discord[[#This Row],[name]],suivi[membre.prive.pseudo_discord],0),
_xlpm.membre_id,INDEX(suivi[membre.id],_xlpm.ligne_pseudo),
IFERROR(IF(_xlpm.membre_id="","",_xlpm.membre_id),"")
)</calculatedColumnFormula>
    </tableColumn>
    <tableColumn id="7" xr3:uid="{90921E0E-C201-49A2-B9F7-408194AADE9F}" name="membre.nom_userfriendly" dataDxfId="20">
      <calculatedColumnFormula>_xlfn.LET(
_xlpm.ligne_pseudo,MATCH(discord[[#This Row],[name]],suivi[membre.prive.pseudo_discord],0),
_xlpm.membre_nom,INDEX(suivi['#support.nom],_xlpm.ligne_pseudo),
IFERROR(_xlpm.membre_nom,"")
)</calculatedColumnFormula>
    </tableColumn>
    <tableColumn id="8" xr3:uid="{09B2EB6F-0F7F-40BF-8910-D1D3E95F4187}" name="role_attendu" dataDxfId="19"/>
    <tableColumn id="9" xr3:uid="{42C150F7-58A8-4FB5-8DFF-E4324BF95A8C}" name="mauvais_role" dataDxfId="18">
      <calculatedColumnFormula>IF(SUBSTITUTE(SUBSTITUTE(LOWER(discord[[#This Row],[roles]]),"@everyone,",""),"@everyone","")&lt;&gt;LOWER(discord[[#This Row],[role_attendu]]),1,"")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84C31-BE21-4326-8660-CD68C14F5F6A}" name="discord_date" displayName="discord_date" ref="B1" headerRowCount="0" totalsRowShown="0" headerRowDxfId="17" dataDxfId="16">
  <tableColumns count="1">
    <tableColumn id="1" xr3:uid="{FDC5888B-FBAD-4F2A-97C4-6EE2B7DFD80E}" name="Column1" dataDxfId="15"/>
  </tableColumns>
  <tableStyleInfo name="TableStyleMedium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B009032-0C22-40C2-B52B-BB399DF7163D}" name="members" displayName="members" ref="A1:L165" totalsRowShown="0">
  <autoFilter ref="A1:L165" xr:uid="{2B009032-0C22-40C2-B52B-BB399DF7163D}"/>
  <tableColumns count="12">
    <tableColumn id="1" xr3:uid="{73DAB11C-ECEC-44CC-AD36-E8EC6E0EF5DF}" name="id"/>
    <tableColumn id="2" xr3:uid="{E37DB540-078C-4ABA-8CF5-7A1BEBAC752E}" name="credential_id"/>
    <tableColumn id="11" xr3:uid="{DF695408-A20E-4F4B-8655-E80D5C2AEC3E}" name="discord" dataDxfId="14"/>
    <tableColumn id="3" xr3:uid="{74FAFBF2-09CF-4D1E-B12A-C645A3F01DF3}" name="log_timestamp" dataDxfId="13"/>
    <tableColumn id="4" xr3:uid="{0871E1D6-D941-461A-B21E-CF62586B7F92}" name="log_author_id"/>
    <tableColumn id="6" xr3:uid="{CB5E1288-DCAC-4AFF-96D4-304A0759EA30}" name="first_name" dataDxfId="12"/>
    <tableColumn id="8" xr3:uid="{B5DD7135-1933-421C-B5EE-91F93850F180}" name="last_name" dataDxfId="11"/>
    <tableColumn id="10" xr3:uid="{81F033DD-2A7B-4C95-B2A1-A60AEBAC39CE}" name="birthdate" dataDxfId="10"/>
    <tableColumn id="13" xr3:uid="{616439E2-A7FE-40AB-A09E-4B9A92A308AE}" name="check last name" dataDxfId="9">
      <calculatedColumnFormula>_xlfn.LET(_xlpm.ref_val,INDEX(annuaire[nom],MATCH(#REF!,annuaire[id],0)),
_xlpm.db_val,members[[#This Row],[last_name]],
IF(_xlpm.ref_val=_xlpm.db_val,"","!!"))</calculatedColumnFormula>
    </tableColumn>
    <tableColumn id="14" xr3:uid="{E94361E9-730D-4496-92DD-13D16346CE04}" name="check first name" dataDxfId="8">
      <calculatedColumnFormula>_xlfn.LET(_xlpm.ref_val,INDEX(annuaire[prenom],MATCH(#REF!,annuaire[id],0)),
_xlpm.db_val,members[[#This Row],[first_name]],
IF(_xlpm.ref_val=_xlpm.db_val,"","!!"))</calculatedColumnFormula>
    </tableColumn>
    <tableColumn id="15" xr3:uid="{078E869A-6986-462D-B42A-AF8D4B86EAB7}" name="check phone" dataDxfId="7">
      <calculatedColumnFormula>_xlfn.LET(_xlpm.ref_val_raw,INDEX(annuaire[telephone],MATCH(#REF!,annuaire[id],0)),
_xlpm.ref_val,IF(_xlpm.ref_val_raw="",_xlpm.ref_val_raw,"(+33)" &amp; (_xlpm.ref_val_raw)),
_xlpm.db_val,#REF!,
IF(_xlpm.ref_val=_xlpm.db_val,"","!!"))</calculatedColumnFormula>
    </tableColumn>
    <tableColumn id="16" xr3:uid="{404D0481-C022-4705-874E-15D5FCACB163}" name="check discord" dataDxfId="6">
      <calculatedColumnFormula>_xlfn.LET(_xlpm.ref_val,INDEX(annuaire[pseudo_discord],MATCH(#REF!,annuaire[id],0)),
_xlpm.db_val,members[[#This Row],[discord]],
IF(_xlpm.ref_val=_xlpm.db_val,"","!!"))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" dT="2024-09-08T19:07:44.54" personId="{8192691A-6B12-4787-9BEA-21109C80C006}" id="{BF0E6A53-8306-4102-99C1-675066B61A36}">
    <text>Dans la liste de diffusion si:
- a cotisé cette saison
- est venu il y a moins de 12 mois
- est rentré dans l'annuaire il y a moins de 12 mois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4273-1D19-498C-85E6-C95D941779F1}">
  <sheetPr>
    <tabColor theme="5"/>
    <pageSetUpPr autoPageBreaks="0"/>
  </sheetPr>
  <dimension ref="A1:AK187"/>
  <sheetViews>
    <sheetView tabSelected="1" zoomScale="70" zoomScaleNormal="70" workbookViewId="0">
      <pane xSplit="1" ySplit="3" topLeftCell="B154" activePane="bottomRight" state="frozen"/>
      <selection pane="topRight" activeCell="B1" sqref="B1"/>
      <selection pane="bottomLeft" activeCell="A4" sqref="A4"/>
      <selection pane="bottomRight" activeCell="F176" sqref="F176"/>
    </sheetView>
  </sheetViews>
  <sheetFormatPr defaultColWidth="9.140625" defaultRowHeight="15" outlineLevelCol="1" x14ac:dyDescent="0.25"/>
  <cols>
    <col min="1" max="1" width="12.42578125" bestFit="1" customWidth="1"/>
    <col min="2" max="2" width="5.85546875" customWidth="1"/>
    <col min="3" max="3" width="3.85546875" customWidth="1"/>
    <col min="4" max="4" width="12.5703125" bestFit="1" customWidth="1"/>
    <col min="5" max="5" width="28" bestFit="1" customWidth="1"/>
    <col min="6" max="6" width="49.140625" bestFit="1" customWidth="1"/>
    <col min="7" max="7" width="17.42578125" customWidth="1"/>
    <col min="8" max="8" width="11.28515625" customWidth="1"/>
    <col min="9" max="9" width="9.140625" customWidth="1"/>
    <col min="10" max="10" width="9.42578125" customWidth="1"/>
    <col min="11" max="11" width="9.42578125" bestFit="1" customWidth="1"/>
    <col min="12" max="15" width="36.5703125" customWidth="1"/>
    <col min="16" max="16" width="28.85546875" customWidth="1"/>
    <col min="17" max="17" width="8.5703125" customWidth="1"/>
    <col min="18" max="18" width="15.85546875" customWidth="1" outlineLevel="1"/>
    <col min="19" max="19" width="9.140625" customWidth="1" outlineLevel="1"/>
    <col min="20" max="20" width="13.140625" bestFit="1" customWidth="1" outlineLevel="1"/>
    <col min="21" max="21" width="22.5703125" customWidth="1" outlineLevel="1"/>
    <col min="22" max="22" width="15" customWidth="1" outlineLevel="1"/>
    <col min="23" max="28" width="9.140625" customWidth="1" outlineLevel="1"/>
    <col min="33" max="33" width="27.28515625" bestFit="1" customWidth="1"/>
    <col min="34" max="34" width="9.85546875" bestFit="1" customWidth="1"/>
    <col min="35" max="36" width="9.140625" customWidth="1"/>
  </cols>
  <sheetData>
    <row r="1" spans="1:37" s="10" customFormat="1" ht="15.75" thickBot="1" x14ac:dyDescent="0.3">
      <c r="B1"/>
      <c r="E1" s="13"/>
      <c r="F1" s="11" t="str">
        <f>IFERROR(INDEX(annuaire[id],MATCH(Suivi!$E$1,annuaire[nom_userfriendly],0)),"-")</f>
        <v>-</v>
      </c>
      <c r="G1" s="13" t="s">
        <v>539</v>
      </c>
      <c r="H1" s="16" cm="1">
        <f t="array" ref="H1:J1">_xlfn.LET(_xlpm.liste,TRANSPOSE(_xlfn._xlws.SORT(_xlfn.UNIQUE(_xlfn._xlws.FILTER(suivi[membre.id],suivi[membre.id]&gt;0)))),
_xlpm.max_liste,MAX(_xlpm.liste),
_xlpm.liste_tout,_xlfn.SEQUENCE(_xlpm.max_liste),
_xlpm.liste_tout_manquant,TRANSPOSE(IFERROR(_xlfn._xlws.FILTER(_xlpm.liste_tout,ISNA(MATCH(_xlpm.liste_tout,_xlpm.liste,0))),"")),
_xlfn.HSTACK(_xlpm.max_liste+1,"(...)",_xlpm.liste_tout_manquant))</f>
        <v>6</v>
      </c>
      <c r="I1" s="10" t="str">
        <v>(...)</v>
      </c>
      <c r="J1" s="10" t="str">
        <v/>
      </c>
    </row>
    <row r="2" spans="1:37" s="10" customFormat="1" x14ac:dyDescent="0.25">
      <c r="A2" s="14"/>
      <c r="B2" s="19"/>
      <c r="C2"/>
      <c r="G2" s="15" t="s">
        <v>540</v>
      </c>
      <c r="H2" s="10" t="str" cm="1">
        <f t="array" ref="H2">TRANSPOSE(_xlfn._xlws.SORT(_xlfn.UNIQUE(IFERROR(_xlfn._xlws.FILTER(suivi[membre.id],(suivi[membre.id]&gt;0)*ISNA(MATCH(suivi[membre.id],annuaire[id],0))),""))))</f>
        <v/>
      </c>
    </row>
    <row r="3" spans="1:37" ht="133.5" x14ac:dyDescent="0.25">
      <c r="A3" s="12" t="s">
        <v>1</v>
      </c>
      <c r="B3" s="12" t="s">
        <v>541</v>
      </c>
      <c r="C3" s="12" t="s">
        <v>446</v>
      </c>
      <c r="D3" s="12" t="s">
        <v>447</v>
      </c>
      <c r="E3" s="12" t="s">
        <v>448</v>
      </c>
      <c r="F3" s="12" t="s">
        <v>449</v>
      </c>
      <c r="G3" s="12" t="s">
        <v>416</v>
      </c>
      <c r="H3" s="12" t="s">
        <v>417</v>
      </c>
      <c r="I3" s="12" t="s">
        <v>2</v>
      </c>
      <c r="J3" s="12" t="s">
        <v>3</v>
      </c>
      <c r="K3" s="12" t="s">
        <v>4</v>
      </c>
      <c r="L3" s="12" t="s">
        <v>624</v>
      </c>
      <c r="M3" s="12" t="s">
        <v>621</v>
      </c>
      <c r="N3" s="12" t="s">
        <v>622</v>
      </c>
      <c r="O3" s="12" t="s">
        <v>623</v>
      </c>
      <c r="P3" s="12" t="s">
        <v>542</v>
      </c>
      <c r="Q3" s="12" t="s">
        <v>479</v>
      </c>
      <c r="R3" s="12" t="s">
        <v>418</v>
      </c>
      <c r="S3" s="12" t="s">
        <v>419</v>
      </c>
      <c r="T3" s="12" t="s">
        <v>420</v>
      </c>
      <c r="U3" s="12" t="s">
        <v>429</v>
      </c>
      <c r="V3" s="12" t="s">
        <v>430</v>
      </c>
      <c r="W3" s="12" t="s">
        <v>421</v>
      </c>
      <c r="X3" s="12" t="s">
        <v>422</v>
      </c>
      <c r="Y3" s="12" t="s">
        <v>423</v>
      </c>
      <c r="Z3" s="12" t="s">
        <v>424</v>
      </c>
      <c r="AA3" s="12" t="s">
        <v>425</v>
      </c>
      <c r="AB3" s="12" t="s">
        <v>426</v>
      </c>
      <c r="AC3" s="12" t="s">
        <v>427</v>
      </c>
      <c r="AD3" s="12" t="s">
        <v>432</v>
      </c>
      <c r="AE3" s="12" t="s">
        <v>428</v>
      </c>
      <c r="AF3" s="12" t="s">
        <v>433</v>
      </c>
      <c r="AG3" s="12" t="s">
        <v>431</v>
      </c>
      <c r="AH3" s="12" t="s">
        <v>550</v>
      </c>
      <c r="AI3" s="12" t="s">
        <v>474</v>
      </c>
      <c r="AJ3" s="12" t="s">
        <v>597</v>
      </c>
      <c r="AK3" s="12" t="s">
        <v>598</v>
      </c>
    </row>
    <row r="4" spans="1:37" x14ac:dyDescent="0.25">
      <c r="A4" s="1">
        <v>42370</v>
      </c>
      <c r="B4">
        <f>ROW(suivi[[#This Row],['#support.id]])-ROW(suivi[[#Headers],['#support.saison_en_cours]])</f>
        <v>1</v>
      </c>
      <c r="C4" s="7" t="str">
        <f>IF(suivi[[#This Row],['#support.saison]]=saison_en_cours,1,"")</f>
        <v/>
      </c>
      <c r="D4" t="s">
        <v>441</v>
      </c>
      <c r="G4" s="10">
        <v>2</v>
      </c>
      <c r="J4" s="25"/>
      <c r="K4" s="25"/>
      <c r="O4" t="s">
        <v>687</v>
      </c>
      <c r="P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4" s="7">
        <f>IF(suivi[[#This Row],['#support.nom]]="","",COUNTIF(suivi['#support.nom],suivi[[#This Row],['#support.nom]]))</f>
        <v>30</v>
      </c>
      <c r="R4" t="s">
        <v>694</v>
      </c>
      <c r="S4" t="s">
        <v>20</v>
      </c>
      <c r="T4" s="1"/>
      <c r="V4" s="4"/>
      <c r="AH4" t="str" cm="1">
        <f t="array" ref="AH4">_xlfn._xlws.FILTER(saisons[nom],(saisons[debut]&lt;=suivi[[#This Row],[date]])*(saisons[fin]&gt;=suivi[[#This Row],[date]]))</f>
        <v>2015-2016</v>
      </c>
      <c r="AI4">
        <f>MIN(COUNTIFS(suivi[entree.categorie],"Evènement",suivi[entree.nom],suivi[[#This Row],[entree.nom]]),1)</f>
        <v>0</v>
      </c>
      <c r="AK4" t="str" cm="1">
        <f t="array" ref="AK4">IFERROR(_xlfn.TEXTJOIN(",",TRUE,_xlfn.UNIQUE(_xlfn._xlws.FILTER(suivi['#support.traite_manuel],(suivi[[#This Row],['#support.nom]]&lt;&gt;"")*(suivi['#support.nom]=suivi[[#This Row],['#support.nom]])))),"-")</f>
        <v/>
      </c>
    </row>
    <row r="5" spans="1:37" x14ac:dyDescent="0.25">
      <c r="A5" s="1">
        <v>42528</v>
      </c>
      <c r="B5">
        <f>ROW(suivi[[#This Row],['#support.id]])-ROW(suivi[[#Headers],['#support.saison_en_cours]])</f>
        <v>2</v>
      </c>
      <c r="C5" s="7" t="str">
        <f>IF(suivi[[#This Row],['#support.saison]]=saison_en_cours,1,"")</f>
        <v/>
      </c>
      <c r="D5" t="s">
        <v>6</v>
      </c>
      <c r="E5" t="s">
        <v>670</v>
      </c>
      <c r="G5" s="10">
        <v>5</v>
      </c>
      <c r="I5" t="s">
        <v>438</v>
      </c>
      <c r="J5" s="27">
        <v>15</v>
      </c>
      <c r="K5" s="27"/>
      <c r="M5" t="s">
        <v>613</v>
      </c>
      <c r="O5" t="s">
        <v>687</v>
      </c>
      <c r="P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5" s="7">
        <f>IF(suivi[[#This Row],['#support.nom]]="","",COUNTIF(suivi['#support.nom],suivi[[#This Row],['#support.nom]]))</f>
        <v>14</v>
      </c>
      <c r="T5" s="1"/>
      <c r="V5" s="4"/>
      <c r="AH5" t="str" cm="1">
        <f t="array" ref="AH5">_xlfn._xlws.FILTER(saisons[nom],(saisons[debut]&lt;=suivi[[#This Row],[date]])*(saisons[fin]&gt;=suivi[[#This Row],[date]]))</f>
        <v>2015-2016</v>
      </c>
      <c r="AI5">
        <f>MIN(COUNTIFS(suivi[entree.categorie],"Evènement",suivi[entree.nom],suivi[[#This Row],[entree.nom]]),1)</f>
        <v>0</v>
      </c>
      <c r="AK5" t="str" cm="1">
        <f t="array" ref="AK5">IFERROR(_xlfn.TEXTJOIN(",",TRUE,_xlfn.UNIQUE(_xlfn._xlws.FILTER(suivi['#support.traite_manuel],(suivi[[#This Row],['#support.nom]]&lt;&gt;"")*(suivi['#support.nom]=suivi[[#This Row],['#support.nom]])))),"-")</f>
        <v/>
      </c>
    </row>
    <row r="6" spans="1:37" x14ac:dyDescent="0.25">
      <c r="A6" s="1">
        <v>42657</v>
      </c>
      <c r="B6">
        <f>ROW(suivi[[#This Row],['#support.id]])-ROW(suivi[[#Headers],['#support.saison_en_cours]])</f>
        <v>3</v>
      </c>
      <c r="C6" s="7" t="str">
        <f>IF(suivi[[#This Row],['#support.saison]]=saison_en_cours,1,"")</f>
        <v/>
      </c>
      <c r="D6" t="s">
        <v>6</v>
      </c>
      <c r="E6" t="s">
        <v>671</v>
      </c>
      <c r="G6" s="10">
        <v>3</v>
      </c>
      <c r="I6" t="s">
        <v>438</v>
      </c>
      <c r="J6" s="27">
        <v>15</v>
      </c>
      <c r="K6" s="27"/>
      <c r="M6" t="s">
        <v>613</v>
      </c>
      <c r="O6" t="s">
        <v>687</v>
      </c>
      <c r="P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6" s="7">
        <f>IF(suivi[[#This Row],['#support.nom]]="","",COUNTIF(suivi['#support.nom],suivi[[#This Row],['#support.nom]]))</f>
        <v>10</v>
      </c>
      <c r="T6" s="1"/>
      <c r="V6" s="4"/>
      <c r="AH6" t="str" cm="1">
        <f t="array" ref="AH6">_xlfn._xlws.FILTER(saisons[nom],(saisons[debut]&lt;=suivi[[#This Row],[date]])*(saisons[fin]&gt;=suivi[[#This Row],[date]]))</f>
        <v>2016-2017</v>
      </c>
      <c r="AI6">
        <f>MIN(COUNTIFS(suivi[entree.categorie],"Evènement",suivi[entree.nom],suivi[[#This Row],[entree.nom]]),1)</f>
        <v>0</v>
      </c>
      <c r="AK6" t="str" cm="1">
        <f t="array" ref="AK6">IFERROR(_xlfn.TEXTJOIN(",",TRUE,_xlfn.UNIQUE(_xlfn._xlws.FILTER(suivi['#support.traite_manuel],(suivi[[#This Row],['#support.nom]]&lt;&gt;"")*(suivi['#support.nom]=suivi[[#This Row],['#support.nom]])))),"-")</f>
        <v/>
      </c>
    </row>
    <row r="7" spans="1:37" x14ac:dyDescent="0.25">
      <c r="A7" s="1">
        <v>42983</v>
      </c>
      <c r="B7">
        <f>ROW(suivi[[#This Row],['#support.id]])-ROW(suivi[[#Headers],['#support.saison_en_cours]])</f>
        <v>4</v>
      </c>
      <c r="C7" s="7" t="str">
        <f>IF(suivi[[#This Row],['#support.saison]]=saison_en_cours,1,"")</f>
        <v/>
      </c>
      <c r="D7" t="s">
        <v>6</v>
      </c>
      <c r="E7" t="s">
        <v>672</v>
      </c>
      <c r="G7" s="10">
        <v>3</v>
      </c>
      <c r="I7" t="s">
        <v>438</v>
      </c>
      <c r="J7" s="27">
        <v>15</v>
      </c>
      <c r="K7" s="27"/>
      <c r="M7" t="s">
        <v>613</v>
      </c>
      <c r="P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7" s="7">
        <f>IF(suivi[[#This Row],['#support.nom]]="","",COUNTIF(suivi['#support.nom],suivi[[#This Row],['#support.nom]]))</f>
        <v>10</v>
      </c>
      <c r="T7" s="1"/>
      <c r="V7" s="4"/>
      <c r="AH7" t="str" cm="1">
        <f t="array" ref="AH7">_xlfn._xlws.FILTER(saisons[nom],(saisons[debut]&lt;=suivi[[#This Row],[date]])*(saisons[fin]&gt;=suivi[[#This Row],[date]]))</f>
        <v>2017-2018</v>
      </c>
      <c r="AI7">
        <f>MIN(COUNTIFS(suivi[entree.categorie],"Evènement",suivi[entree.nom],suivi[[#This Row],[entree.nom]]),1)</f>
        <v>0</v>
      </c>
      <c r="AK7" t="str" cm="1">
        <f t="array" ref="AK7">IFERROR(_xlfn.TEXTJOIN(",",TRUE,_xlfn.UNIQUE(_xlfn._xlws.FILTER(suivi['#support.traite_manuel],(suivi[[#This Row],['#support.nom]]&lt;&gt;"")*(suivi['#support.nom]=suivi[[#This Row],['#support.nom]])))),"-")</f>
        <v/>
      </c>
    </row>
    <row r="8" spans="1:37" x14ac:dyDescent="0.25">
      <c r="A8" s="1">
        <v>42983</v>
      </c>
      <c r="B8">
        <f>ROW(suivi[[#This Row],['#support.id]])-ROW(suivi[[#Headers],['#support.saison_en_cours]])</f>
        <v>5</v>
      </c>
      <c r="C8" s="7" t="str">
        <f>IF(suivi[[#This Row],['#support.saison]]=saison_en_cours,1,"")</f>
        <v/>
      </c>
      <c r="D8" t="s">
        <v>6</v>
      </c>
      <c r="E8" t="s">
        <v>672</v>
      </c>
      <c r="G8" s="10">
        <v>5</v>
      </c>
      <c r="I8" t="s">
        <v>438</v>
      </c>
      <c r="J8" s="27">
        <v>15</v>
      </c>
      <c r="K8" s="27"/>
      <c r="M8" t="s">
        <v>613</v>
      </c>
      <c r="P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8" s="7">
        <f>IF(suivi[[#This Row],['#support.nom]]="","",COUNTIF(suivi['#support.nom],suivi[[#This Row],['#support.nom]]))</f>
        <v>14</v>
      </c>
      <c r="T8" s="1"/>
      <c r="V8" s="4"/>
      <c r="AH8" t="str" cm="1">
        <f t="array" ref="AH8">_xlfn._xlws.FILTER(saisons[nom],(saisons[debut]&lt;=suivi[[#This Row],[date]])*(saisons[fin]&gt;=suivi[[#This Row],[date]]))</f>
        <v>2017-2018</v>
      </c>
      <c r="AI8">
        <f>MIN(COUNTIFS(suivi[entree.categorie],"Evènement",suivi[entree.nom],suivi[[#This Row],[entree.nom]]),1)</f>
        <v>0</v>
      </c>
      <c r="AK8" t="str" cm="1">
        <f t="array" ref="AK8">IFERROR(_xlfn.TEXTJOIN(",",TRUE,_xlfn.UNIQUE(_xlfn._xlws.FILTER(suivi['#support.traite_manuel],(suivi[[#This Row],['#support.nom]]&lt;&gt;"")*(suivi['#support.nom]=suivi[[#This Row],['#support.nom]])))),"-")</f>
        <v/>
      </c>
    </row>
    <row r="9" spans="1:37" x14ac:dyDescent="0.25">
      <c r="A9" s="1">
        <v>43347</v>
      </c>
      <c r="B9">
        <f>ROW(suivi[[#This Row],['#support.id]])-ROW(suivi[[#Headers],['#support.saison_en_cours]])</f>
        <v>6</v>
      </c>
      <c r="C9" s="7" t="str">
        <f>IF(suivi[[#This Row],['#support.saison]]=saison_en_cours,1,"")</f>
        <v/>
      </c>
      <c r="D9" t="s">
        <v>6</v>
      </c>
      <c r="E9" t="s">
        <v>673</v>
      </c>
      <c r="G9" s="10">
        <v>5</v>
      </c>
      <c r="I9" t="s">
        <v>438</v>
      </c>
      <c r="J9" s="27">
        <v>15</v>
      </c>
      <c r="K9" s="27"/>
      <c r="M9" t="s">
        <v>613</v>
      </c>
      <c r="P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9" s="7">
        <f>IF(suivi[[#This Row],['#support.nom]]="","",COUNTIF(suivi['#support.nom],suivi[[#This Row],['#support.nom]]))</f>
        <v>14</v>
      </c>
      <c r="T9" s="1"/>
      <c r="V9" s="4"/>
      <c r="AH9" t="str" cm="1">
        <f t="array" ref="AH9">_xlfn._xlws.FILTER(saisons[nom],(saisons[debut]&lt;=suivi[[#This Row],[date]])*(saisons[fin]&gt;=suivi[[#This Row],[date]]))</f>
        <v>2018-2019</v>
      </c>
      <c r="AI9">
        <f>MIN(COUNTIFS(suivi[entree.categorie],"Evènement",suivi[entree.nom],suivi[[#This Row],[entree.nom]]),1)</f>
        <v>0</v>
      </c>
      <c r="AK9" t="str" cm="1">
        <f t="array" ref="AK9">IFERROR(_xlfn.TEXTJOIN(",",TRUE,_xlfn.UNIQUE(_xlfn._xlws.FILTER(suivi['#support.traite_manuel],(suivi[[#This Row],['#support.nom]]&lt;&gt;"")*(suivi['#support.nom]=suivi[[#This Row],['#support.nom]])))),"-")</f>
        <v/>
      </c>
    </row>
    <row r="10" spans="1:37" x14ac:dyDescent="0.25">
      <c r="A10" s="1">
        <v>43350</v>
      </c>
      <c r="B10">
        <f>ROW(suivi[[#This Row],['#support.id]])-ROW(suivi[[#Headers],['#support.saison_en_cours]])</f>
        <v>7</v>
      </c>
      <c r="C10" s="7" t="str">
        <f>IF(suivi[[#This Row],['#support.saison]]=saison_en_cours,1,"")</f>
        <v/>
      </c>
      <c r="D10" t="s">
        <v>6</v>
      </c>
      <c r="E10" t="s">
        <v>673</v>
      </c>
      <c r="G10" s="10">
        <v>3</v>
      </c>
      <c r="I10" t="s">
        <v>438</v>
      </c>
      <c r="J10" s="27">
        <v>15</v>
      </c>
      <c r="K10" s="27"/>
      <c r="M10" t="s">
        <v>613</v>
      </c>
      <c r="P1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10" s="7">
        <f>IF(suivi[[#This Row],['#support.nom]]="","",COUNTIF(suivi['#support.nom],suivi[[#This Row],['#support.nom]]))</f>
        <v>10</v>
      </c>
      <c r="T10" s="1"/>
      <c r="V10" s="4"/>
      <c r="AH10" t="str" cm="1">
        <f t="array" ref="AH10">_xlfn._xlws.FILTER(saisons[nom],(saisons[debut]&lt;=suivi[[#This Row],[date]])*(saisons[fin]&gt;=suivi[[#This Row],[date]]))</f>
        <v>2018-2019</v>
      </c>
      <c r="AI10">
        <f>MIN(COUNTIFS(suivi[entree.categorie],"Evènement",suivi[entree.nom],suivi[[#This Row],[entree.nom]]),1)</f>
        <v>0</v>
      </c>
      <c r="AK10" t="str" cm="1">
        <f t="array" ref="AK10">IFERROR(_xlfn.TEXTJOIN(",",TRUE,_xlfn.UNIQUE(_xlfn._xlws.FILTER(suivi['#support.traite_manuel],(suivi[[#This Row],['#support.nom]]&lt;&gt;"")*(suivi['#support.nom]=suivi[[#This Row],['#support.nom]])))),"-")</f>
        <v/>
      </c>
    </row>
    <row r="11" spans="1:37" x14ac:dyDescent="0.25">
      <c r="A11" s="1">
        <v>43709</v>
      </c>
      <c r="B11">
        <f>ROW(suivi[[#This Row],['#support.id]])-ROW(suivi[[#Headers],['#support.saison_en_cours]])</f>
        <v>8</v>
      </c>
      <c r="C11" s="7" t="str">
        <f>IF(suivi[[#This Row],['#support.saison]]=saison_en_cours,1,"")</f>
        <v/>
      </c>
      <c r="D11" t="s">
        <v>6</v>
      </c>
      <c r="E11" t="s">
        <v>674</v>
      </c>
      <c r="G11" s="10">
        <v>3</v>
      </c>
      <c r="I11" t="s">
        <v>438</v>
      </c>
      <c r="J11" s="27">
        <v>15</v>
      </c>
      <c r="K11" s="27"/>
      <c r="M11" t="s">
        <v>613</v>
      </c>
      <c r="P1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11" s="7">
        <f>IF(suivi[[#This Row],['#support.nom]]="","",COUNTIF(suivi['#support.nom],suivi[[#This Row],['#support.nom]]))</f>
        <v>10</v>
      </c>
      <c r="T11" s="1"/>
      <c r="V11" s="4"/>
      <c r="AH11" t="str" cm="1">
        <f t="array" ref="AH11">_xlfn._xlws.FILTER(saisons[nom],(saisons[debut]&lt;=suivi[[#This Row],[date]])*(saisons[fin]&gt;=suivi[[#This Row],[date]]))</f>
        <v>2019-2020</v>
      </c>
      <c r="AI11">
        <f>MIN(COUNTIFS(suivi[entree.categorie],"Evènement",suivi[entree.nom],suivi[[#This Row],[entree.nom]]),1)</f>
        <v>0</v>
      </c>
      <c r="AK11" t="str" cm="1">
        <f t="array" ref="AK11">IFERROR(_xlfn.TEXTJOIN(",",TRUE,_xlfn.UNIQUE(_xlfn._xlws.FILTER(suivi['#support.traite_manuel],(suivi[[#This Row],['#support.nom]]&lt;&gt;"")*(suivi['#support.nom]=suivi[[#This Row],['#support.nom]])))),"-")</f>
        <v/>
      </c>
    </row>
    <row r="12" spans="1:37" x14ac:dyDescent="0.25">
      <c r="A12" s="1">
        <v>43709</v>
      </c>
      <c r="B12">
        <f>ROW(suivi[[#This Row],['#support.id]])-ROW(suivi[[#Headers],['#support.saison_en_cours]])</f>
        <v>9</v>
      </c>
      <c r="C12" s="7" t="str">
        <f>IF(suivi[[#This Row],['#support.saison]]=saison_en_cours,1,"")</f>
        <v/>
      </c>
      <c r="D12" t="s">
        <v>441</v>
      </c>
      <c r="F12" s="1">
        <v>44439</v>
      </c>
      <c r="G12" s="10">
        <v>3</v>
      </c>
      <c r="H12" t="s">
        <v>212</v>
      </c>
      <c r="J12" s="27"/>
      <c r="K12" s="27"/>
      <c r="O12" t="s">
        <v>691</v>
      </c>
      <c r="P1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12" s="7">
        <f>IF(suivi[[#This Row],['#support.nom]]="","",COUNTIF(suivi['#support.nom],suivi[[#This Row],['#support.nom]]))</f>
        <v>10</v>
      </c>
      <c r="T12" s="1"/>
      <c r="V12" s="4"/>
      <c r="AH12" t="str" cm="1">
        <f t="array" ref="AH12">_xlfn._xlws.FILTER(saisons[nom],(saisons[debut]&lt;=suivi[[#This Row],[date]])*(saisons[fin]&gt;=suivi[[#This Row],[date]]))</f>
        <v>2019-2020</v>
      </c>
      <c r="AI12">
        <f>MIN(COUNTIFS(suivi[entree.categorie],"Evènement",suivi[entree.nom],suivi[[#This Row],[entree.nom]]),1)</f>
        <v>0</v>
      </c>
      <c r="AK12" t="str" cm="1">
        <f t="array" ref="AK12">IFERROR(_xlfn.TEXTJOIN(",",TRUE,_xlfn.UNIQUE(_xlfn._xlws.FILTER(suivi['#support.traite_manuel],(suivi[[#This Row],['#support.nom]]&lt;&gt;"")*(suivi['#support.nom]=suivi[[#This Row],['#support.nom]])))),"-")</f>
        <v/>
      </c>
    </row>
    <row r="13" spans="1:37" x14ac:dyDescent="0.25">
      <c r="A13" s="1">
        <v>43709</v>
      </c>
      <c r="B13">
        <f>ROW(suivi[[#This Row],['#support.id]])-ROW(suivi[[#Headers],['#support.saison_en_cours]])</f>
        <v>10</v>
      </c>
      <c r="C13" s="7" t="str">
        <f>IF(suivi[[#This Row],['#support.saison]]=saison_en_cours,1,"")</f>
        <v/>
      </c>
      <c r="D13" t="s">
        <v>6</v>
      </c>
      <c r="E13" t="s">
        <v>674</v>
      </c>
      <c r="G13" s="10">
        <v>5</v>
      </c>
      <c r="I13" t="s">
        <v>438</v>
      </c>
      <c r="J13" s="27">
        <v>15</v>
      </c>
      <c r="K13" s="27"/>
      <c r="M13" t="s">
        <v>613</v>
      </c>
      <c r="P1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13" s="7">
        <f>IF(suivi[[#This Row],['#support.nom]]="","",COUNTIF(suivi['#support.nom],suivi[[#This Row],['#support.nom]]))</f>
        <v>14</v>
      </c>
      <c r="T13" s="1"/>
      <c r="V13" s="4"/>
      <c r="AH13" t="str" cm="1">
        <f t="array" ref="AH13">_xlfn._xlws.FILTER(saisons[nom],(saisons[debut]&lt;=suivi[[#This Row],[date]])*(saisons[fin]&gt;=suivi[[#This Row],[date]]))</f>
        <v>2019-2020</v>
      </c>
      <c r="AI13">
        <f>MIN(COUNTIFS(suivi[entree.categorie],"Evènement",suivi[entree.nom],suivi[[#This Row],[entree.nom]]),1)</f>
        <v>0</v>
      </c>
      <c r="AK13" t="str" cm="1">
        <f t="array" ref="AK13">IFERROR(_xlfn.TEXTJOIN(",",TRUE,_xlfn.UNIQUE(_xlfn._xlws.FILTER(suivi['#support.traite_manuel],(suivi[[#This Row],['#support.nom]]&lt;&gt;"")*(suivi['#support.nom]=suivi[[#This Row],['#support.nom]])))),"-")</f>
        <v/>
      </c>
    </row>
    <row r="14" spans="1:37" x14ac:dyDescent="0.25">
      <c r="A14" s="1">
        <v>43709</v>
      </c>
      <c r="B14">
        <f>ROW(suivi[[#This Row],['#support.id]])-ROW(suivi[[#Headers],['#support.saison_en_cours]])</f>
        <v>11</v>
      </c>
      <c r="C14" s="7" t="str">
        <f>IF(suivi[[#This Row],['#support.saison]]=saison_en_cours,1,"")</f>
        <v/>
      </c>
      <c r="D14" t="s">
        <v>441</v>
      </c>
      <c r="F14" s="1">
        <v>45169</v>
      </c>
      <c r="G14" s="10">
        <v>5</v>
      </c>
      <c r="H14" t="s">
        <v>213</v>
      </c>
      <c r="J14" s="27"/>
      <c r="K14" s="27"/>
      <c r="O14" t="s">
        <v>691</v>
      </c>
      <c r="P1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14" s="7">
        <f>IF(suivi[[#This Row],['#support.nom]]="","",COUNTIF(suivi['#support.nom],suivi[[#This Row],['#support.nom]]))</f>
        <v>14</v>
      </c>
      <c r="T14" s="1"/>
      <c r="V14" s="4"/>
      <c r="AH14" t="str" cm="1">
        <f t="array" ref="AH14">_xlfn._xlws.FILTER(saisons[nom],(saisons[debut]&lt;=suivi[[#This Row],[date]])*(saisons[fin]&gt;=suivi[[#This Row],[date]]))</f>
        <v>2019-2020</v>
      </c>
      <c r="AI14">
        <f>MIN(COUNTIFS(suivi[entree.categorie],"Evènement",suivi[entree.nom],suivi[[#This Row],[entree.nom]]),1)</f>
        <v>0</v>
      </c>
      <c r="AK14" t="str" cm="1">
        <f t="array" ref="AK14">IFERROR(_xlfn.TEXTJOIN(",",TRUE,_xlfn.UNIQUE(_xlfn._xlws.FILTER(suivi['#support.traite_manuel],(suivi[[#This Row],['#support.nom]]&lt;&gt;"")*(suivi['#support.nom]=suivi[[#This Row],['#support.nom]])))),"-")</f>
        <v/>
      </c>
    </row>
    <row r="15" spans="1:37" x14ac:dyDescent="0.25">
      <c r="A15" s="1">
        <v>43716</v>
      </c>
      <c r="B15">
        <f>ROW(suivi[[#This Row],['#support.id]])-ROW(suivi[[#Headers],['#support.saison_en_cours]])</f>
        <v>12</v>
      </c>
      <c r="C15" s="7" t="str">
        <f>IF(suivi[[#This Row],['#support.saison]]=saison_en_cours,1,"")</f>
        <v/>
      </c>
      <c r="D15" t="s">
        <v>620</v>
      </c>
      <c r="E15" t="s">
        <v>679</v>
      </c>
      <c r="G15" s="10">
        <v>1</v>
      </c>
      <c r="J15" s="26"/>
      <c r="K15" s="26"/>
      <c r="P1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" s="7">
        <f>IF(suivi[[#This Row],['#support.nom]]="","",COUNTIF(suivi['#support.nom],suivi[[#This Row],['#support.nom]]))</f>
        <v>98</v>
      </c>
      <c r="R15" t="s">
        <v>662</v>
      </c>
      <c r="S15" t="s">
        <v>663</v>
      </c>
      <c r="T15" s="1">
        <v>35431</v>
      </c>
      <c r="U15" t="s">
        <v>664</v>
      </c>
      <c r="V15" s="4">
        <v>601020304</v>
      </c>
      <c r="W15">
        <v>1</v>
      </c>
      <c r="X15" t="s">
        <v>252</v>
      </c>
      <c r="Y15" t="s">
        <v>665</v>
      </c>
      <c r="Z15" t="s">
        <v>666</v>
      </c>
      <c r="AA15">
        <v>12345</v>
      </c>
      <c r="AB15" t="s">
        <v>667</v>
      </c>
      <c r="AC15" t="s">
        <v>321</v>
      </c>
      <c r="AD15" t="s">
        <v>668</v>
      </c>
      <c r="AE15" t="s">
        <v>669</v>
      </c>
      <c r="AF15" t="s">
        <v>668</v>
      </c>
      <c r="AG15" t="s">
        <v>206</v>
      </c>
      <c r="AH15" t="str" cm="1">
        <f t="array" ref="AH15">_xlfn._xlws.FILTER(saisons[nom],(saisons[debut]&lt;=suivi[[#This Row],[date]])*(saisons[fin]&gt;=suivi[[#This Row],[date]]))</f>
        <v>2019-2020</v>
      </c>
      <c r="AI15">
        <f>MIN(COUNTIFS(suivi[entree.categorie],"Evènement",suivi[entree.nom],suivi[[#This Row],[entree.nom]]),1)</f>
        <v>1</v>
      </c>
      <c r="AK15" t="str" cm="1">
        <f t="array" ref="AK15">IFERROR(_xlfn.TEXTJOIN(",",TRUE,_xlfn.UNIQUE(_xlfn._xlws.FILTER(suivi['#support.traite_manuel],(suivi[[#This Row],['#support.nom]]&lt;&gt;"")*(suivi['#support.nom]=suivi[[#This Row],['#support.nom]])))),"-")</f>
        <v/>
      </c>
    </row>
    <row r="16" spans="1:37" x14ac:dyDescent="0.25">
      <c r="A16" s="1">
        <v>43716</v>
      </c>
      <c r="B16" s="28">
        <f>ROW(suivi[[#This Row],['#support.id]])-ROW(suivi[[#Headers],['#support.saison_en_cours]])</f>
        <v>13</v>
      </c>
      <c r="C16" s="31" t="str">
        <f>IF(suivi[[#This Row],['#support.saison]]=saison_en_cours,1,"")</f>
        <v/>
      </c>
      <c r="D16" t="s">
        <v>0</v>
      </c>
      <c r="E16" t="s">
        <v>679</v>
      </c>
      <c r="G16" s="10"/>
      <c r="J16" s="38"/>
      <c r="K16" s="38"/>
      <c r="P16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2019_13</v>
      </c>
      <c r="Q16" s="31">
        <f>IF(suivi[[#This Row],['#support.nom]]="","",COUNTIF(suivi['#support.nom],suivi[[#This Row],['#support.nom]]))</f>
        <v>1</v>
      </c>
      <c r="T16" s="1"/>
      <c r="V16" s="4"/>
      <c r="AH16" s="28" t="str" cm="1">
        <f t="array" ref="AH16">_xlfn._xlws.FILTER(saisons[nom],(saisons[debut]&lt;=suivi[[#This Row],[date]])*(saisons[fin]&gt;=suivi[[#This Row],[date]]))</f>
        <v>2019-2020</v>
      </c>
      <c r="AI16" s="28">
        <f>MIN(COUNTIFS(suivi[entree.categorie],"Evènement",suivi[entree.nom],suivi[[#This Row],[entree.nom]]),1)</f>
        <v>1</v>
      </c>
      <c r="AK16" s="28" t="str" cm="1">
        <f t="array" ref="AK16">IFERROR(_xlfn.TEXTJOIN(",",TRUE,_xlfn.UNIQUE(_xlfn._xlws.FILTER(suivi['#support.traite_manuel],(suivi[[#This Row],['#support.nom]]&lt;&gt;"")*(suivi['#support.nom]=suivi[[#This Row],['#support.nom]])))),"-")</f>
        <v/>
      </c>
    </row>
    <row r="17" spans="1:37" x14ac:dyDescent="0.25">
      <c r="A17" s="1">
        <v>43728</v>
      </c>
      <c r="B17">
        <f>ROW(suivi[[#This Row],['#support.id]])-ROW(suivi[[#Headers],['#support.saison_en_cours]])</f>
        <v>14</v>
      </c>
      <c r="C17" s="7" t="str">
        <f>IF(suivi[[#This Row],['#support.saison]]=saison_en_cours,1,"")</f>
        <v/>
      </c>
      <c r="D17" t="s">
        <v>6</v>
      </c>
      <c r="E17" t="s">
        <v>674</v>
      </c>
      <c r="G17" s="10">
        <v>1</v>
      </c>
      <c r="I17" t="s">
        <v>5</v>
      </c>
      <c r="J17" s="26">
        <v>15</v>
      </c>
      <c r="K17" s="26"/>
      <c r="M17" t="s">
        <v>613</v>
      </c>
      <c r="P1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" s="7">
        <f>IF(suivi[[#This Row],['#support.nom]]="","",COUNTIF(suivi['#support.nom],suivi[[#This Row],['#support.nom]]))</f>
        <v>98</v>
      </c>
      <c r="T17" s="1"/>
      <c r="V17" s="4"/>
      <c r="AH17" t="str" cm="1">
        <f t="array" ref="AH17">_xlfn._xlws.FILTER(saisons[nom],(saisons[debut]&lt;=suivi[[#This Row],[date]])*(saisons[fin]&gt;=suivi[[#This Row],[date]]))</f>
        <v>2019-2020</v>
      </c>
      <c r="AI17">
        <f>MIN(COUNTIFS(suivi[entree.categorie],"Evènement",suivi[entree.nom],suivi[[#This Row],[entree.nom]]),1)</f>
        <v>0</v>
      </c>
      <c r="AK17" t="str" cm="1">
        <f t="array" ref="AK17">IFERROR(_xlfn.TEXTJOIN(",",TRUE,_xlfn.UNIQUE(_xlfn._xlws.FILTER(suivi['#support.traite_manuel],(suivi[[#This Row],['#support.nom]]&lt;&gt;"")*(suivi['#support.nom]=suivi[[#This Row],['#support.nom]])))),"-")</f>
        <v/>
      </c>
    </row>
    <row r="18" spans="1:37" x14ac:dyDescent="0.25">
      <c r="A18" s="1">
        <v>43911</v>
      </c>
      <c r="B18">
        <f>ROW(suivi[[#This Row],['#support.id]])-ROW(suivi[[#Headers],['#support.saison_en_cours]])</f>
        <v>15</v>
      </c>
      <c r="C18" s="7" t="str">
        <f>IF(suivi[[#This Row],['#support.saison]]=saison_en_cours,1,"")</f>
        <v/>
      </c>
      <c r="D18" t="s">
        <v>441</v>
      </c>
      <c r="G18" s="10">
        <v>1</v>
      </c>
      <c r="J18" s="25"/>
      <c r="K18" s="25"/>
      <c r="O18" t="s">
        <v>690</v>
      </c>
      <c r="P1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8" s="7">
        <f>IF(suivi[[#This Row],['#support.nom]]="","",COUNTIF(suivi['#support.nom],suivi[[#This Row],['#support.nom]]))</f>
        <v>98</v>
      </c>
      <c r="T18" s="1"/>
      <c r="V18" s="4"/>
      <c r="AH18" t="str" cm="1">
        <f t="array" ref="AH18">_xlfn._xlws.FILTER(saisons[nom],(saisons[debut]&lt;=suivi[[#This Row],[date]])*(saisons[fin]&gt;=suivi[[#This Row],[date]]))</f>
        <v>2019-2020</v>
      </c>
      <c r="AI18">
        <f>MIN(COUNTIFS(suivi[entree.categorie],"Evènement",suivi[entree.nom],suivi[[#This Row],[entree.nom]]),1)</f>
        <v>0</v>
      </c>
      <c r="AK18" t="str" cm="1">
        <f t="array" ref="AK18">IFERROR(_xlfn.TEXTJOIN(",",TRUE,_xlfn.UNIQUE(_xlfn._xlws.FILTER(suivi['#support.traite_manuel],(suivi[[#This Row],['#support.nom]]&lt;&gt;"")*(suivi['#support.nom]=suivi[[#This Row],['#support.nom]])))),"-")</f>
        <v/>
      </c>
    </row>
    <row r="19" spans="1:37" x14ac:dyDescent="0.25">
      <c r="A19" s="1">
        <v>43945</v>
      </c>
      <c r="B19">
        <f>ROW(suivi[[#This Row],['#support.id]])-ROW(suivi[[#Headers],['#support.saison_en_cours]])</f>
        <v>16</v>
      </c>
      <c r="C19" s="7" t="str">
        <f>IF(suivi[[#This Row],['#support.saison]]=saison_en_cours,1,"")</f>
        <v/>
      </c>
      <c r="D19" t="s">
        <v>441</v>
      </c>
      <c r="G19" s="10">
        <v>3</v>
      </c>
      <c r="J19" s="41"/>
      <c r="K19" s="41"/>
      <c r="O19" t="s">
        <v>690</v>
      </c>
      <c r="P1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19" s="7">
        <f>IF(suivi[[#This Row],['#support.nom]]="","",COUNTIF(suivi['#support.nom],suivi[[#This Row],['#support.nom]]))</f>
        <v>10</v>
      </c>
      <c r="T19" s="1"/>
      <c r="V19" s="4"/>
      <c r="AH19" t="str" cm="1">
        <f t="array" ref="AH19">_xlfn._xlws.FILTER(saisons[nom],(saisons[debut]&lt;=suivi[[#This Row],[date]])*(saisons[fin]&gt;=suivi[[#This Row],[date]]))</f>
        <v>2019-2020</v>
      </c>
      <c r="AI19">
        <f>MIN(COUNTIFS(suivi[entree.categorie],"Evènement",suivi[entree.nom],suivi[[#This Row],[entree.nom]]),1)</f>
        <v>0</v>
      </c>
      <c r="AK19" t="str" cm="1">
        <f t="array" ref="AK19">IFERROR(_xlfn.TEXTJOIN(",",TRUE,_xlfn.UNIQUE(_xlfn._xlws.FILTER(suivi['#support.traite_manuel],(suivi[[#This Row],['#support.nom]]&lt;&gt;"")*(suivi['#support.nom]=suivi[[#This Row],['#support.nom]])))),"-")</f>
        <v/>
      </c>
    </row>
    <row r="20" spans="1:37" x14ac:dyDescent="0.25">
      <c r="A20" s="1">
        <v>44075</v>
      </c>
      <c r="B20">
        <f>ROW(suivi[[#This Row],['#support.id]])-ROW(suivi[[#Headers],['#support.saison_en_cours]])</f>
        <v>17</v>
      </c>
      <c r="C20" s="7" t="str">
        <f>IF(suivi[[#This Row],['#support.saison]]=saison_en_cours,1,"")</f>
        <v/>
      </c>
      <c r="D20" t="s">
        <v>6</v>
      </c>
      <c r="E20" t="s">
        <v>675</v>
      </c>
      <c r="G20" s="10">
        <v>1</v>
      </c>
      <c r="J20" s="26"/>
      <c r="K20" s="26"/>
      <c r="M20" t="s">
        <v>616</v>
      </c>
      <c r="P2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20" s="7">
        <f>IF(suivi[[#This Row],['#support.nom]]="","",COUNTIF(suivi['#support.nom],suivi[[#This Row],['#support.nom]]))</f>
        <v>98</v>
      </c>
      <c r="T20" s="1"/>
      <c r="V20" s="4"/>
      <c r="AH20" t="str" cm="1">
        <f t="array" ref="AH20">_xlfn._xlws.FILTER(saisons[nom],(saisons[debut]&lt;=suivi[[#This Row],[date]])*(saisons[fin]&gt;=suivi[[#This Row],[date]]))</f>
        <v>2020-2021</v>
      </c>
      <c r="AI20">
        <f>MIN(COUNTIFS(suivi[entree.categorie],"Evènement",suivi[entree.nom],suivi[[#This Row],[entree.nom]]),1)</f>
        <v>0</v>
      </c>
      <c r="AK20" t="str" cm="1">
        <f t="array" ref="AK20">IFERROR(_xlfn.TEXTJOIN(",",TRUE,_xlfn.UNIQUE(_xlfn._xlws.FILTER(suivi['#support.traite_manuel],(suivi[[#This Row],['#support.nom]]&lt;&gt;"")*(suivi['#support.nom]=suivi[[#This Row],['#support.nom]])))),"-")</f>
        <v/>
      </c>
    </row>
    <row r="21" spans="1:37" x14ac:dyDescent="0.25">
      <c r="A21" s="1">
        <v>44075</v>
      </c>
      <c r="B21">
        <f>ROW(suivi[[#This Row],['#support.id]])-ROW(suivi[[#Headers],['#support.saison_en_cours]])</f>
        <v>18</v>
      </c>
      <c r="C21" s="7" t="str">
        <f>IF(suivi[[#This Row],['#support.saison]]=saison_en_cours,1,"")</f>
        <v/>
      </c>
      <c r="D21" t="s">
        <v>6</v>
      </c>
      <c r="E21" t="s">
        <v>675</v>
      </c>
      <c r="F21" s="36"/>
      <c r="G21" s="10">
        <v>3</v>
      </c>
      <c r="J21" s="27"/>
      <c r="K21" s="27"/>
      <c r="M21" t="s">
        <v>616</v>
      </c>
      <c r="P2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21" s="7">
        <f>IF(suivi[[#This Row],['#support.nom]]="","",COUNTIF(suivi['#support.nom],suivi[[#This Row],['#support.nom]]))</f>
        <v>10</v>
      </c>
      <c r="T21" s="1"/>
      <c r="V21" s="4"/>
      <c r="AH21" t="str" cm="1">
        <f t="array" ref="AH21">_xlfn._xlws.FILTER(saisons[nom],(saisons[debut]&lt;=suivi[[#This Row],[date]])*(saisons[fin]&gt;=suivi[[#This Row],[date]]))</f>
        <v>2020-2021</v>
      </c>
      <c r="AI21">
        <f>MIN(COUNTIFS(suivi[entree.categorie],"Evènement",suivi[entree.nom],suivi[[#This Row],[entree.nom]]),1)</f>
        <v>0</v>
      </c>
      <c r="AK21" t="str" cm="1">
        <f t="array" ref="AK21">IFERROR(_xlfn.TEXTJOIN(",",TRUE,_xlfn.UNIQUE(_xlfn._xlws.FILTER(suivi['#support.traite_manuel],(suivi[[#This Row],['#support.nom]]&lt;&gt;"")*(suivi['#support.nom]=suivi[[#This Row],['#support.nom]])))),"-")</f>
        <v/>
      </c>
    </row>
    <row r="22" spans="1:37" x14ac:dyDescent="0.25">
      <c r="A22" s="1">
        <v>44075</v>
      </c>
      <c r="B22">
        <f>ROW(suivi[[#This Row],['#support.id]])-ROW(suivi[[#Headers],['#support.saison_en_cours]])</f>
        <v>19</v>
      </c>
      <c r="C22" s="7" t="str">
        <f>IF(suivi[[#This Row],['#support.saison]]=saison_en_cours,1,"")</f>
        <v/>
      </c>
      <c r="D22" t="s">
        <v>441</v>
      </c>
      <c r="F22" s="37">
        <v>44439</v>
      </c>
      <c r="G22" s="10">
        <v>3</v>
      </c>
      <c r="H22" t="s">
        <v>212</v>
      </c>
      <c r="J22" s="27"/>
      <c r="K22" s="27"/>
      <c r="O22" t="s">
        <v>691</v>
      </c>
      <c r="P2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22" s="7">
        <f>IF(suivi[[#This Row],['#support.nom]]="","",COUNTIF(suivi['#support.nom],suivi[[#This Row],['#support.nom]]))</f>
        <v>10</v>
      </c>
      <c r="T22" s="1"/>
      <c r="V22" s="4"/>
      <c r="AH22" t="str" cm="1">
        <f t="array" ref="AH22">_xlfn._xlws.FILTER(saisons[nom],(saisons[debut]&lt;=suivi[[#This Row],[date]])*(saisons[fin]&gt;=suivi[[#This Row],[date]]))</f>
        <v>2020-2021</v>
      </c>
      <c r="AI22">
        <f>MIN(COUNTIFS(suivi[entree.categorie],"Evènement",suivi[entree.nom],suivi[[#This Row],[entree.nom]]),1)</f>
        <v>0</v>
      </c>
      <c r="AK22" t="str" cm="1">
        <f t="array" ref="AK22">IFERROR(_xlfn.TEXTJOIN(",",TRUE,_xlfn.UNIQUE(_xlfn._xlws.FILTER(suivi['#support.traite_manuel],(suivi[[#This Row],['#support.nom]]&lt;&gt;"")*(suivi['#support.nom]=suivi[[#This Row],['#support.nom]])))),"-")</f>
        <v/>
      </c>
    </row>
    <row r="23" spans="1:37" x14ac:dyDescent="0.25">
      <c r="A23" s="1">
        <v>44075</v>
      </c>
      <c r="B23">
        <f>ROW(suivi[[#This Row],['#support.id]])-ROW(suivi[[#Headers],['#support.saison_en_cours]])</f>
        <v>20</v>
      </c>
      <c r="C23" s="7" t="str">
        <f>IF(suivi[[#This Row],['#support.saison]]=saison_en_cours,1,"")</f>
        <v/>
      </c>
      <c r="D23" t="s">
        <v>6</v>
      </c>
      <c r="E23" t="s">
        <v>675</v>
      </c>
      <c r="F23" s="36"/>
      <c r="G23" s="10">
        <v>5</v>
      </c>
      <c r="J23" s="27"/>
      <c r="K23" s="27"/>
      <c r="M23" t="s">
        <v>616</v>
      </c>
      <c r="P2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23" s="7">
        <f>IF(suivi[[#This Row],['#support.nom]]="","",COUNTIF(suivi['#support.nom],suivi[[#This Row],['#support.nom]]))</f>
        <v>14</v>
      </c>
      <c r="T23" s="1"/>
      <c r="V23" s="4"/>
      <c r="AH23" t="str" cm="1">
        <f t="array" ref="AH23">_xlfn._xlws.FILTER(saisons[nom],(saisons[debut]&lt;=suivi[[#This Row],[date]])*(saisons[fin]&gt;=suivi[[#This Row],[date]]))</f>
        <v>2020-2021</v>
      </c>
      <c r="AI23">
        <f>MIN(COUNTIFS(suivi[entree.categorie],"Evènement",suivi[entree.nom],suivi[[#This Row],[entree.nom]]),1)</f>
        <v>0</v>
      </c>
      <c r="AK23" t="str" cm="1">
        <f t="array" ref="AK23">IFERROR(_xlfn.TEXTJOIN(",",TRUE,_xlfn.UNIQUE(_xlfn._xlws.FILTER(suivi['#support.traite_manuel],(suivi[[#This Row],['#support.nom]]&lt;&gt;"")*(suivi['#support.nom]=suivi[[#This Row],['#support.nom]])))),"-")</f>
        <v/>
      </c>
    </row>
    <row r="24" spans="1:37" x14ac:dyDescent="0.25">
      <c r="A24" s="1">
        <v>44075</v>
      </c>
      <c r="B24">
        <f>ROW(suivi[[#This Row],['#support.id]])-ROW(suivi[[#Headers],['#support.saison_en_cours]])</f>
        <v>21</v>
      </c>
      <c r="C24" s="7" t="str">
        <f>IF(suivi[[#This Row],['#support.saison]]=saison_en_cours,1,"")</f>
        <v/>
      </c>
      <c r="D24" t="s">
        <v>441</v>
      </c>
      <c r="F24" s="37">
        <v>45169</v>
      </c>
      <c r="G24" s="10">
        <v>5</v>
      </c>
      <c r="H24" t="s">
        <v>213</v>
      </c>
      <c r="J24" s="27"/>
      <c r="K24" s="27"/>
      <c r="O24" t="s">
        <v>691</v>
      </c>
      <c r="P2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24" s="7">
        <f>IF(suivi[[#This Row],['#support.nom]]="","",COUNTIF(suivi['#support.nom],suivi[[#This Row],['#support.nom]]))</f>
        <v>14</v>
      </c>
      <c r="T24" s="1"/>
      <c r="V24" s="4"/>
      <c r="AH24" t="str" cm="1">
        <f t="array" ref="AH24">_xlfn._xlws.FILTER(saisons[nom],(saisons[debut]&lt;=suivi[[#This Row],[date]])*(saisons[fin]&gt;=suivi[[#This Row],[date]]))</f>
        <v>2020-2021</v>
      </c>
      <c r="AI24">
        <f>MIN(COUNTIFS(suivi[entree.categorie],"Evènement",suivi[entree.nom],suivi[[#This Row],[entree.nom]]),1)</f>
        <v>0</v>
      </c>
      <c r="AK24" t="str" cm="1">
        <f t="array" ref="AK24">IFERROR(_xlfn.TEXTJOIN(",",TRUE,_xlfn.UNIQUE(_xlfn._xlws.FILTER(suivi['#support.traite_manuel],(suivi[[#This Row],['#support.nom]]&lt;&gt;"")*(suivi['#support.nom]=suivi[[#This Row],['#support.nom]])))),"-")</f>
        <v/>
      </c>
    </row>
    <row r="25" spans="1:37" x14ac:dyDescent="0.25">
      <c r="A25" s="1">
        <v>44090</v>
      </c>
      <c r="B25">
        <f>ROW(suivi[[#This Row],['#support.id]])-ROW(suivi[[#Headers],['#support.saison_en_cours]])</f>
        <v>22</v>
      </c>
      <c r="C25" s="7" t="str">
        <f>IF(suivi[[#This Row],['#support.saison]]=saison_en_cours,1,"")</f>
        <v/>
      </c>
      <c r="D25" t="s">
        <v>441</v>
      </c>
      <c r="G25" s="10">
        <v>5</v>
      </c>
      <c r="J25" s="41"/>
      <c r="K25" s="41"/>
      <c r="O25" t="s">
        <v>690</v>
      </c>
      <c r="P2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25" s="7">
        <f>IF(suivi[[#This Row],['#support.nom]]="","",COUNTIF(suivi['#support.nom],suivi[[#This Row],['#support.nom]]))</f>
        <v>14</v>
      </c>
      <c r="T25" s="1"/>
      <c r="V25" s="4"/>
      <c r="AH25" t="str" cm="1">
        <f t="array" ref="AH25">_xlfn._xlws.FILTER(saisons[nom],(saisons[debut]&lt;=suivi[[#This Row],[date]])*(saisons[fin]&gt;=suivi[[#This Row],[date]]))</f>
        <v>2020-2021</v>
      </c>
      <c r="AI25">
        <f>MIN(COUNTIFS(suivi[entree.categorie],"Evènement",suivi[entree.nom],suivi[[#This Row],[entree.nom]]),1)</f>
        <v>0</v>
      </c>
      <c r="AK25" t="str" cm="1">
        <f t="array" ref="AK25">IFERROR(_xlfn.TEXTJOIN(",",TRUE,_xlfn.UNIQUE(_xlfn._xlws.FILTER(suivi['#support.traite_manuel],(suivi[[#This Row],['#support.nom]]&lt;&gt;"")*(suivi['#support.nom]=suivi[[#This Row],['#support.nom]])))),"-")</f>
        <v/>
      </c>
    </row>
    <row r="26" spans="1:37" x14ac:dyDescent="0.25">
      <c r="A26" s="1">
        <v>44440</v>
      </c>
      <c r="B26">
        <f>ROW(suivi[[#This Row],['#support.id]])-ROW(suivi[[#Headers],['#support.saison_en_cours]])</f>
        <v>23</v>
      </c>
      <c r="C26" s="7" t="str">
        <f>IF(suivi[[#This Row],['#support.saison]]=saison_en_cours,1,"")</f>
        <v/>
      </c>
      <c r="D26" t="s">
        <v>6</v>
      </c>
      <c r="E26" t="s">
        <v>676</v>
      </c>
      <c r="G26" s="10">
        <v>1</v>
      </c>
      <c r="J26" s="26"/>
      <c r="K26" s="26"/>
      <c r="M26" t="s">
        <v>616</v>
      </c>
      <c r="P2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26" s="7">
        <f>IF(suivi[[#This Row],['#support.nom]]="","",COUNTIF(suivi['#support.nom],suivi[[#This Row],['#support.nom]]))</f>
        <v>98</v>
      </c>
      <c r="T26" s="1"/>
      <c r="V26" s="4"/>
      <c r="AH26" t="str" cm="1">
        <f t="array" ref="AH26">_xlfn._xlws.FILTER(saisons[nom],(saisons[debut]&lt;=suivi[[#This Row],[date]])*(saisons[fin]&gt;=suivi[[#This Row],[date]]))</f>
        <v>2021-2022</v>
      </c>
      <c r="AI26">
        <f>MIN(COUNTIFS(suivi[entree.categorie],"Evènement",suivi[entree.nom],suivi[[#This Row],[entree.nom]]),1)</f>
        <v>0</v>
      </c>
      <c r="AK26" t="str" cm="1">
        <f t="array" ref="AK26">IFERROR(_xlfn.TEXTJOIN(",",TRUE,_xlfn.UNIQUE(_xlfn._xlws.FILTER(suivi['#support.traite_manuel],(suivi[[#This Row],['#support.nom]]&lt;&gt;"")*(suivi['#support.nom]=suivi[[#This Row],['#support.nom]])))),"-")</f>
        <v/>
      </c>
    </row>
    <row r="27" spans="1:37" x14ac:dyDescent="0.25">
      <c r="A27" s="1">
        <v>44440</v>
      </c>
      <c r="B27">
        <f>ROW(suivi[[#This Row],['#support.id]])-ROW(suivi[[#Headers],['#support.saison_en_cours]])</f>
        <v>24</v>
      </c>
      <c r="C27" s="7" t="str">
        <f>IF(suivi[[#This Row],['#support.saison]]=saison_en_cours,1,"")</f>
        <v/>
      </c>
      <c r="D27" t="s">
        <v>6</v>
      </c>
      <c r="E27" t="s">
        <v>676</v>
      </c>
      <c r="F27" s="36"/>
      <c r="G27" s="10">
        <v>3</v>
      </c>
      <c r="J27" s="27"/>
      <c r="K27" s="27"/>
      <c r="M27" t="s">
        <v>616</v>
      </c>
      <c r="P2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27" s="7">
        <f>IF(suivi[[#This Row],['#support.nom]]="","",COUNTIF(suivi['#support.nom],suivi[[#This Row],['#support.nom]]))</f>
        <v>10</v>
      </c>
      <c r="T27" s="1"/>
      <c r="V27" s="4"/>
      <c r="AH27" t="str" cm="1">
        <f t="array" ref="AH27">_xlfn._xlws.FILTER(saisons[nom],(saisons[debut]&lt;=suivi[[#This Row],[date]])*(saisons[fin]&gt;=suivi[[#This Row],[date]]))</f>
        <v>2021-2022</v>
      </c>
      <c r="AI27">
        <f>MIN(COUNTIFS(suivi[entree.categorie],"Evènement",suivi[entree.nom],suivi[[#This Row],[entree.nom]]),1)</f>
        <v>0</v>
      </c>
      <c r="AK27" t="str" cm="1">
        <f t="array" ref="AK27">IFERROR(_xlfn.TEXTJOIN(",",TRUE,_xlfn.UNIQUE(_xlfn._xlws.FILTER(suivi['#support.traite_manuel],(suivi[[#This Row],['#support.nom]]&lt;&gt;"")*(suivi['#support.nom]=suivi[[#This Row],['#support.nom]])))),"-")</f>
        <v/>
      </c>
    </row>
    <row r="28" spans="1:37" x14ac:dyDescent="0.25">
      <c r="A28" s="1">
        <v>44440</v>
      </c>
      <c r="B28">
        <f>ROW(suivi[[#This Row],['#support.id]])-ROW(suivi[[#Headers],['#support.saison_en_cours]])</f>
        <v>25</v>
      </c>
      <c r="C28" s="7" t="str">
        <f>IF(suivi[[#This Row],['#support.saison]]=saison_en_cours,1,"")</f>
        <v/>
      </c>
      <c r="D28" t="s">
        <v>441</v>
      </c>
      <c r="F28" s="37">
        <v>45169</v>
      </c>
      <c r="G28" s="10">
        <v>3</v>
      </c>
      <c r="H28" t="s">
        <v>214</v>
      </c>
      <c r="J28" s="27"/>
      <c r="K28" s="27"/>
      <c r="O28" t="s">
        <v>691</v>
      </c>
      <c r="P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28" s="7">
        <f>IF(suivi[[#This Row],['#support.nom]]="","",COUNTIF(suivi['#support.nom],suivi[[#This Row],['#support.nom]]))</f>
        <v>10</v>
      </c>
      <c r="T28" s="1"/>
      <c r="V28" s="4"/>
      <c r="AH28" t="str" cm="1">
        <f t="array" ref="AH28">_xlfn._xlws.FILTER(saisons[nom],(saisons[debut]&lt;=suivi[[#This Row],[date]])*(saisons[fin]&gt;=suivi[[#This Row],[date]]))</f>
        <v>2021-2022</v>
      </c>
      <c r="AI28">
        <f>MIN(COUNTIFS(suivi[entree.categorie],"Evènement",suivi[entree.nom],suivi[[#This Row],[entree.nom]]),1)</f>
        <v>0</v>
      </c>
      <c r="AK28" t="str" cm="1">
        <f t="array" ref="AK28">IFERROR(_xlfn.TEXTJOIN(",",TRUE,_xlfn.UNIQUE(_xlfn._xlws.FILTER(suivi['#support.traite_manuel],(suivi[[#This Row],['#support.nom]]&lt;&gt;"")*(suivi['#support.nom]=suivi[[#This Row],['#support.nom]])))),"-")</f>
        <v/>
      </c>
    </row>
    <row r="29" spans="1:37" x14ac:dyDescent="0.25">
      <c r="A29" s="1">
        <v>44440</v>
      </c>
      <c r="B29">
        <f>ROW(suivi[[#This Row],['#support.id]])-ROW(suivi[[#Headers],['#support.saison_en_cours]])</f>
        <v>26</v>
      </c>
      <c r="C29" s="7" t="str">
        <f>IF(suivi[[#This Row],['#support.saison]]=saison_en_cours,1,"")</f>
        <v/>
      </c>
      <c r="D29" t="s">
        <v>6</v>
      </c>
      <c r="E29" t="s">
        <v>676</v>
      </c>
      <c r="F29" s="36"/>
      <c r="G29" s="10">
        <v>5</v>
      </c>
      <c r="J29" s="27"/>
      <c r="K29" s="27"/>
      <c r="M29" t="s">
        <v>616</v>
      </c>
      <c r="P2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29" s="7">
        <f>IF(suivi[[#This Row],['#support.nom]]="","",COUNTIF(suivi['#support.nom],suivi[[#This Row],['#support.nom]]))</f>
        <v>14</v>
      </c>
      <c r="T29" s="1"/>
      <c r="V29" s="4"/>
      <c r="AH29" t="str" cm="1">
        <f t="array" ref="AH29">_xlfn._xlws.FILTER(saisons[nom],(saisons[debut]&lt;=suivi[[#This Row],[date]])*(saisons[fin]&gt;=suivi[[#This Row],[date]]))</f>
        <v>2021-2022</v>
      </c>
      <c r="AI29">
        <f>MIN(COUNTIFS(suivi[entree.categorie],"Evènement",suivi[entree.nom],suivi[[#This Row],[entree.nom]]),1)</f>
        <v>0</v>
      </c>
      <c r="AK29" t="str" cm="1">
        <f t="array" ref="AK29">IFERROR(_xlfn.TEXTJOIN(",",TRUE,_xlfn.UNIQUE(_xlfn._xlws.FILTER(suivi['#support.traite_manuel],(suivi[[#This Row],['#support.nom]]&lt;&gt;"")*(suivi['#support.nom]=suivi[[#This Row],['#support.nom]])))),"-")</f>
        <v/>
      </c>
    </row>
    <row r="30" spans="1:37" x14ac:dyDescent="0.25">
      <c r="A30" s="1">
        <v>44440</v>
      </c>
      <c r="B30">
        <f>ROW(suivi[[#This Row],['#support.id]])-ROW(suivi[[#Headers],['#support.saison_en_cours]])</f>
        <v>27</v>
      </c>
      <c r="C30" s="7" t="str">
        <f>IF(suivi[[#This Row],['#support.saison]]=saison_en_cours,1,"")</f>
        <v/>
      </c>
      <c r="D30" t="s">
        <v>441</v>
      </c>
      <c r="F30" s="37">
        <v>45169</v>
      </c>
      <c r="G30" s="10">
        <v>5</v>
      </c>
      <c r="H30" t="s">
        <v>213</v>
      </c>
      <c r="J30" s="27"/>
      <c r="K30" s="27"/>
      <c r="O30" t="s">
        <v>691</v>
      </c>
      <c r="P3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30" s="7">
        <f>IF(suivi[[#This Row],['#support.nom]]="","",COUNTIF(suivi['#support.nom],suivi[[#This Row],['#support.nom]]))</f>
        <v>14</v>
      </c>
      <c r="T30" s="1"/>
      <c r="V30" s="4"/>
      <c r="AH30" t="str" cm="1">
        <f t="array" ref="AH30">_xlfn._xlws.FILTER(saisons[nom],(saisons[debut]&lt;=suivi[[#This Row],[date]])*(saisons[fin]&gt;=suivi[[#This Row],[date]]))</f>
        <v>2021-2022</v>
      </c>
      <c r="AI30">
        <f>MIN(COUNTIFS(suivi[entree.categorie],"Evènement",suivi[entree.nom],suivi[[#This Row],[entree.nom]]),1)</f>
        <v>0</v>
      </c>
      <c r="AK30" t="str" cm="1">
        <f t="array" ref="AK30">IFERROR(_xlfn.TEXTJOIN(",",TRUE,_xlfn.UNIQUE(_xlfn._xlws.FILTER(suivi['#support.traite_manuel],(suivi[[#This Row],['#support.nom]]&lt;&gt;"")*(suivi['#support.nom]=suivi[[#This Row],['#support.nom]])))),"-")</f>
        <v/>
      </c>
    </row>
    <row r="31" spans="1:37" x14ac:dyDescent="0.25">
      <c r="A31" s="1">
        <v>44805</v>
      </c>
      <c r="B31">
        <f>ROW(suivi[[#This Row],['#support.id]])-ROW(suivi[[#Headers],['#support.saison_en_cours]])</f>
        <v>28</v>
      </c>
      <c r="C31" s="7" t="str">
        <f>IF(suivi[[#This Row],['#support.saison]]=saison_en_cours,1,"")</f>
        <v/>
      </c>
      <c r="D31" t="s">
        <v>6</v>
      </c>
      <c r="E31" t="s">
        <v>677</v>
      </c>
      <c r="G31" s="10">
        <v>1</v>
      </c>
      <c r="I31" t="s">
        <v>438</v>
      </c>
      <c r="J31" s="26">
        <v>15</v>
      </c>
      <c r="K31" s="26"/>
      <c r="M31" t="s">
        <v>613</v>
      </c>
      <c r="P3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31" s="7">
        <f>IF(suivi[[#This Row],['#support.nom]]="","",COUNTIF(suivi['#support.nom],suivi[[#This Row],['#support.nom]]))</f>
        <v>98</v>
      </c>
      <c r="T31" s="1"/>
      <c r="V31" s="4"/>
      <c r="AH31" t="str" cm="1">
        <f t="array" ref="AH31">_xlfn._xlws.FILTER(saisons[nom],(saisons[debut]&lt;=suivi[[#This Row],[date]])*(saisons[fin]&gt;=suivi[[#This Row],[date]]))</f>
        <v>2022-2023</v>
      </c>
      <c r="AI31">
        <f>MIN(COUNTIFS(suivi[entree.categorie],"Evènement",suivi[entree.nom],suivi[[#This Row],[entree.nom]]),1)</f>
        <v>0</v>
      </c>
      <c r="AK31" t="str" cm="1">
        <f t="array" ref="AK31">IFERROR(_xlfn.TEXTJOIN(",",TRUE,_xlfn.UNIQUE(_xlfn._xlws.FILTER(suivi['#support.traite_manuel],(suivi[[#This Row],['#support.nom]]&lt;&gt;"")*(suivi['#support.nom]=suivi[[#This Row],['#support.nom]])))),"-")</f>
        <v/>
      </c>
    </row>
    <row r="32" spans="1:37" x14ac:dyDescent="0.25">
      <c r="A32" s="1">
        <v>44805</v>
      </c>
      <c r="B32">
        <f>ROW(suivi[[#This Row],['#support.id]])-ROW(suivi[[#Headers],['#support.saison_en_cours]])</f>
        <v>29</v>
      </c>
      <c r="C32" s="7" t="str">
        <f>IF(suivi[[#This Row],['#support.saison]]=saison_en_cours,1,"")</f>
        <v/>
      </c>
      <c r="D32" t="s">
        <v>6</v>
      </c>
      <c r="E32" t="s">
        <v>677</v>
      </c>
      <c r="F32" s="36"/>
      <c r="G32" s="10">
        <v>5</v>
      </c>
      <c r="I32" t="s">
        <v>438</v>
      </c>
      <c r="J32" s="27">
        <v>15</v>
      </c>
      <c r="K32" s="27"/>
      <c r="M32" t="s">
        <v>613</v>
      </c>
      <c r="P3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32" s="7">
        <f>IF(suivi[[#This Row],['#support.nom]]="","",COUNTIF(suivi['#support.nom],suivi[[#This Row],['#support.nom]]))</f>
        <v>14</v>
      </c>
      <c r="T32" s="1"/>
      <c r="V32" s="4"/>
      <c r="AH32" t="str" cm="1">
        <f t="array" ref="AH32">_xlfn._xlws.FILTER(saisons[nom],(saisons[debut]&lt;=suivi[[#This Row],[date]])*(saisons[fin]&gt;=suivi[[#This Row],[date]]))</f>
        <v>2022-2023</v>
      </c>
      <c r="AI32">
        <f>MIN(COUNTIFS(suivi[entree.categorie],"Evènement",suivi[entree.nom],suivi[[#This Row],[entree.nom]]),1)</f>
        <v>0</v>
      </c>
      <c r="AK32" t="str" cm="1">
        <f t="array" ref="AK32">IFERROR(_xlfn.TEXTJOIN(",",TRUE,_xlfn.UNIQUE(_xlfn._xlws.FILTER(suivi['#support.traite_manuel],(suivi[[#This Row],['#support.nom]]&lt;&gt;"")*(suivi['#support.nom]=suivi[[#This Row],['#support.nom]])))),"-")</f>
        <v/>
      </c>
    </row>
    <row r="33" spans="1:37" x14ac:dyDescent="0.25">
      <c r="A33" s="1">
        <v>44805</v>
      </c>
      <c r="B33">
        <f>ROW(suivi[[#This Row],['#support.id]])-ROW(suivi[[#Headers],['#support.saison_en_cours]])</f>
        <v>30</v>
      </c>
      <c r="C33" s="7" t="str">
        <f>IF(suivi[[#This Row],['#support.saison]]=saison_en_cours,1,"")</f>
        <v/>
      </c>
      <c r="D33" t="s">
        <v>441</v>
      </c>
      <c r="F33" s="37">
        <v>45169</v>
      </c>
      <c r="G33" s="10">
        <v>5</v>
      </c>
      <c r="H33" t="s">
        <v>213</v>
      </c>
      <c r="J33" s="27"/>
      <c r="K33" s="27"/>
      <c r="O33" t="s">
        <v>691</v>
      </c>
      <c r="P3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33" s="7">
        <f>IF(suivi[[#This Row],['#support.nom]]="","",COUNTIF(suivi['#support.nom],suivi[[#This Row],['#support.nom]]))</f>
        <v>14</v>
      </c>
      <c r="T33" s="1"/>
      <c r="V33" s="4"/>
      <c r="AH33" t="str" cm="1">
        <f t="array" ref="AH33">_xlfn._xlws.FILTER(saisons[nom],(saisons[debut]&lt;=suivi[[#This Row],[date]])*(saisons[fin]&gt;=suivi[[#This Row],[date]]))</f>
        <v>2022-2023</v>
      </c>
      <c r="AI33">
        <f>MIN(COUNTIFS(suivi[entree.categorie],"Evènement",suivi[entree.nom],suivi[[#This Row],[entree.nom]]),1)</f>
        <v>0</v>
      </c>
      <c r="AK33" t="str" cm="1">
        <f t="array" ref="AK33">IFERROR(_xlfn.TEXTJOIN(",",TRUE,_xlfn.UNIQUE(_xlfn._xlws.FILTER(suivi['#support.traite_manuel],(suivi[[#This Row],['#support.nom]]&lt;&gt;"")*(suivi['#support.nom]=suivi[[#This Row],['#support.nom]])))),"-")</f>
        <v/>
      </c>
    </row>
    <row r="34" spans="1:37" x14ac:dyDescent="0.25">
      <c r="A34" s="1">
        <v>45170</v>
      </c>
      <c r="B34">
        <f>ROW(suivi[[#This Row],['#support.id]])-ROW(suivi[[#Headers],['#support.saison_en_cours]])</f>
        <v>31</v>
      </c>
      <c r="C34" s="7" t="str">
        <f>IF(suivi[[#This Row],['#support.saison]]=saison_en_cours,1,"")</f>
        <v/>
      </c>
      <c r="D34" t="s">
        <v>441</v>
      </c>
      <c r="F34" s="36"/>
      <c r="G34" s="10">
        <v>1</v>
      </c>
      <c r="H34" t="s">
        <v>214</v>
      </c>
      <c r="J34" s="26"/>
      <c r="K34" s="26"/>
      <c r="O34" t="s">
        <v>691</v>
      </c>
      <c r="P3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34" s="7">
        <f>IF(suivi[[#This Row],['#support.nom]]="","",COUNTIF(suivi['#support.nom],suivi[[#This Row],['#support.nom]]))</f>
        <v>98</v>
      </c>
      <c r="T34" s="1"/>
      <c r="V34" s="4"/>
      <c r="AH34" t="str" cm="1">
        <f t="array" ref="AH34">_xlfn._xlws.FILTER(saisons[nom],(saisons[debut]&lt;=suivi[[#This Row],[date]])*(saisons[fin]&gt;=suivi[[#This Row],[date]]))</f>
        <v>2023-2024</v>
      </c>
      <c r="AI34">
        <f>MIN(COUNTIFS(suivi[entree.categorie],"Evènement",suivi[entree.nom],suivi[[#This Row],[entree.nom]]),1)</f>
        <v>0</v>
      </c>
      <c r="AK34" t="str" cm="1">
        <f t="array" ref="AK34">IFERROR(_xlfn.TEXTJOIN(",",TRUE,_xlfn.UNIQUE(_xlfn._xlws.FILTER(suivi['#support.traite_manuel],(suivi[[#This Row],['#support.nom]]&lt;&gt;"")*(suivi['#support.nom]=suivi[[#This Row],['#support.nom]])))),"-")</f>
        <v/>
      </c>
    </row>
    <row r="35" spans="1:37" x14ac:dyDescent="0.25">
      <c r="A35" s="1">
        <v>45170</v>
      </c>
      <c r="B35">
        <f>ROW(suivi[[#This Row],['#support.id]])-ROW(suivi[[#Headers],['#support.saison_en_cours]])</f>
        <v>32</v>
      </c>
      <c r="C35" s="7" t="str">
        <f>IF(suivi[[#This Row],['#support.saison]]=saison_en_cours,1,"")</f>
        <v/>
      </c>
      <c r="D35" t="s">
        <v>441</v>
      </c>
      <c r="F35" s="37">
        <v>45535</v>
      </c>
      <c r="G35" s="10">
        <v>5</v>
      </c>
      <c r="H35" t="s">
        <v>211</v>
      </c>
      <c r="J35" s="27"/>
      <c r="K35" s="27"/>
      <c r="O35" t="s">
        <v>691</v>
      </c>
      <c r="P3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35" s="7">
        <f>IF(suivi[[#This Row],['#support.nom]]="","",COUNTIF(suivi['#support.nom],suivi[[#This Row],['#support.nom]]))</f>
        <v>14</v>
      </c>
      <c r="T35" s="1"/>
      <c r="V35" s="4"/>
      <c r="AH35" t="str" cm="1">
        <f t="array" ref="AH35">_xlfn._xlws.FILTER(saisons[nom],(saisons[debut]&lt;=suivi[[#This Row],[date]])*(saisons[fin]&gt;=suivi[[#This Row],[date]]))</f>
        <v>2023-2024</v>
      </c>
      <c r="AI35">
        <f>MIN(COUNTIFS(suivi[entree.categorie],"Evènement",suivi[entree.nom],suivi[[#This Row],[entree.nom]]),1)</f>
        <v>0</v>
      </c>
      <c r="AK35" t="str" cm="1">
        <f t="array" ref="AK35">IFERROR(_xlfn.TEXTJOIN(",",TRUE,_xlfn.UNIQUE(_xlfn._xlws.FILTER(suivi['#support.traite_manuel],(suivi[[#This Row],['#support.nom]]&lt;&gt;"")*(suivi['#support.nom]=suivi[[#This Row],['#support.nom]])))),"-")</f>
        <v/>
      </c>
    </row>
    <row r="36" spans="1:37" x14ac:dyDescent="0.25">
      <c r="A36" s="1">
        <v>45172</v>
      </c>
      <c r="B36" s="28">
        <f>ROW(suivi[[#This Row],['#support.id]])-ROW(suivi[[#Headers],['#support.saison_en_cours]])</f>
        <v>33</v>
      </c>
      <c r="C36" s="31" t="str">
        <f>IF(suivi[[#This Row],['#support.saison]]=saison_en_cours,1,"")</f>
        <v/>
      </c>
      <c r="D36" t="s">
        <v>0</v>
      </c>
      <c r="E36" t="s">
        <v>696</v>
      </c>
      <c r="G36" s="10"/>
      <c r="J36" s="38"/>
      <c r="K36" s="38"/>
      <c r="P36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2023_33</v>
      </c>
      <c r="Q36" s="31">
        <f>IF(suivi[[#This Row],['#support.nom]]="","",COUNTIF(suivi['#support.nom],suivi[[#This Row],['#support.nom]]))</f>
        <v>1</v>
      </c>
      <c r="T36" s="1"/>
      <c r="V36" s="4"/>
      <c r="AH36" s="28" t="str" cm="1">
        <f t="array" ref="AH36">_xlfn._xlws.FILTER(saisons[nom],(saisons[debut]&lt;=suivi[[#This Row],[date]])*(saisons[fin]&gt;=suivi[[#This Row],[date]]))</f>
        <v>2023-2024</v>
      </c>
      <c r="AI36" s="28">
        <f>MIN(COUNTIFS(suivi[entree.categorie],"Evènement",suivi[entree.nom],suivi[[#This Row],[entree.nom]]),1)</f>
        <v>1</v>
      </c>
      <c r="AK36" s="28" t="str" cm="1">
        <f t="array" ref="AK36">IFERROR(_xlfn.TEXTJOIN(",",TRUE,_xlfn.UNIQUE(_xlfn._xlws.FILTER(suivi['#support.traite_manuel],(suivi[[#This Row],['#support.nom]]&lt;&gt;"")*(suivi['#support.nom]=suivi[[#This Row],['#support.nom]])))),"-")</f>
        <v/>
      </c>
    </row>
    <row r="37" spans="1:37" x14ac:dyDescent="0.25">
      <c r="A37" s="1">
        <v>45184</v>
      </c>
      <c r="B37">
        <f>ROW(suivi[[#This Row],['#support.id]])-ROW(suivi[[#Headers],['#support.saison_en_cours]])</f>
        <v>34</v>
      </c>
      <c r="C37" s="7" t="str">
        <f>IF(suivi[[#This Row],['#support.saison]]=saison_en_cours,1,"")</f>
        <v/>
      </c>
      <c r="D37" t="s">
        <v>7</v>
      </c>
      <c r="G37" s="10">
        <v>1</v>
      </c>
      <c r="J37" s="26"/>
      <c r="K37" s="26"/>
      <c r="P3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37" s="7">
        <f>IF(suivi[[#This Row],['#support.nom]]="","",COUNTIF(suivi['#support.nom],suivi[[#This Row],['#support.nom]]))</f>
        <v>98</v>
      </c>
      <c r="T37" s="1"/>
      <c r="V37" s="4"/>
      <c r="AH37" t="str" cm="1">
        <f t="array" ref="AH37">_xlfn._xlws.FILTER(saisons[nom],(saisons[debut]&lt;=suivi[[#This Row],[date]])*(saisons[fin]&gt;=suivi[[#This Row],[date]]))</f>
        <v>2023-2024</v>
      </c>
      <c r="AI37">
        <f>MIN(COUNTIFS(suivi[entree.categorie],"Evènement",suivi[entree.nom],suivi[[#This Row],[entree.nom]]),1)</f>
        <v>0</v>
      </c>
      <c r="AK37" t="str" cm="1">
        <f t="array" ref="AK37">IFERROR(_xlfn.TEXTJOIN(",",TRUE,_xlfn.UNIQUE(_xlfn._xlws.FILTER(suivi['#support.traite_manuel],(suivi[[#This Row],['#support.nom]]&lt;&gt;"")*(suivi['#support.nom]=suivi[[#This Row],['#support.nom]])))),"-")</f>
        <v/>
      </c>
    </row>
    <row r="38" spans="1:37" x14ac:dyDescent="0.25">
      <c r="A38" s="1">
        <v>45191</v>
      </c>
      <c r="B38">
        <f>ROW(suivi[[#This Row],['#support.id]])-ROW(suivi[[#Headers],['#support.saison_en_cours]])</f>
        <v>35</v>
      </c>
      <c r="C38" s="7" t="str">
        <f>IF(suivi[[#This Row],['#support.saison]]=saison_en_cours,1,"")</f>
        <v/>
      </c>
      <c r="D38" t="s">
        <v>7</v>
      </c>
      <c r="G38" s="10">
        <v>1</v>
      </c>
      <c r="J38" s="26"/>
      <c r="K38" s="26"/>
      <c r="P3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38" s="7">
        <f>IF(suivi[[#This Row],['#support.nom]]="","",COUNTIF(suivi['#support.nom],suivi[[#This Row],['#support.nom]]))</f>
        <v>98</v>
      </c>
      <c r="T38" s="1"/>
      <c r="V38" s="4"/>
      <c r="AH38" t="str" cm="1">
        <f t="array" ref="AH38">_xlfn._xlws.FILTER(saisons[nom],(saisons[debut]&lt;=suivi[[#This Row],[date]])*(saisons[fin]&gt;=suivi[[#This Row],[date]]))</f>
        <v>2023-2024</v>
      </c>
      <c r="AI38">
        <f>MIN(COUNTIFS(suivi[entree.categorie],"Evènement",suivi[entree.nom],suivi[[#This Row],[entree.nom]]),1)</f>
        <v>0</v>
      </c>
      <c r="AK38" t="str" cm="1">
        <f t="array" ref="AK38">IFERROR(_xlfn.TEXTJOIN(",",TRUE,_xlfn.UNIQUE(_xlfn._xlws.FILTER(suivi['#support.traite_manuel],(suivi[[#This Row],['#support.nom]]&lt;&gt;"")*(suivi['#support.nom]=suivi[[#This Row],['#support.nom]])))),"-")</f>
        <v/>
      </c>
    </row>
    <row r="39" spans="1:37" x14ac:dyDescent="0.25">
      <c r="A39" s="1">
        <v>45191</v>
      </c>
      <c r="B39" s="28">
        <f>ROW(suivi[[#This Row],['#support.id]])-ROW(suivi[[#Headers],['#support.saison_en_cours]])</f>
        <v>36</v>
      </c>
      <c r="C39" s="31" t="str">
        <f>IF(suivi[[#This Row],['#support.saison]]=saison_en_cours,1,"")</f>
        <v/>
      </c>
      <c r="D39" t="s">
        <v>7</v>
      </c>
      <c r="G39" s="10"/>
      <c r="J39" s="38"/>
      <c r="K39" s="38"/>
      <c r="L39" t="s">
        <v>695</v>
      </c>
      <c r="P39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Présence_36</v>
      </c>
      <c r="Q39" s="31">
        <f>IF(suivi[[#This Row],['#support.nom]]="","",COUNTIF(suivi['#support.nom],suivi[[#This Row],['#support.nom]]))</f>
        <v>1</v>
      </c>
      <c r="T39" s="1"/>
      <c r="V39" s="4"/>
      <c r="AH39" s="28" t="str" cm="1">
        <f t="array" ref="AH39">_xlfn._xlws.FILTER(saisons[nom],(saisons[debut]&lt;=suivi[[#This Row],[date]])*(saisons[fin]&gt;=suivi[[#This Row],[date]]))</f>
        <v>2023-2024</v>
      </c>
      <c r="AI39" s="28">
        <f>MIN(COUNTIFS(suivi[entree.categorie],"Evènement",suivi[entree.nom],suivi[[#This Row],[entree.nom]]),1)</f>
        <v>0</v>
      </c>
      <c r="AK39" s="28" t="str" cm="1">
        <f t="array" ref="AK39">IFERROR(_xlfn.TEXTJOIN(",",TRUE,_xlfn.UNIQUE(_xlfn._xlws.FILTER(suivi['#support.traite_manuel],(suivi[[#This Row],['#support.nom]]&lt;&gt;"")*(suivi['#support.nom]=suivi[[#This Row],['#support.nom]])))),"-")</f>
        <v/>
      </c>
    </row>
    <row r="40" spans="1:37" x14ac:dyDescent="0.25">
      <c r="A40" s="1">
        <v>45198</v>
      </c>
      <c r="B40">
        <f>ROW(suivi[[#This Row],['#support.id]])-ROW(suivi[[#Headers],['#support.saison_en_cours]])</f>
        <v>37</v>
      </c>
      <c r="C40" s="7" t="str">
        <f>IF(suivi[[#This Row],['#support.saison]]=saison_en_cours,1,"")</f>
        <v/>
      </c>
      <c r="D40" t="s">
        <v>7</v>
      </c>
      <c r="G40" s="10">
        <v>1</v>
      </c>
      <c r="J40" s="26"/>
      <c r="K40" s="26"/>
      <c r="P4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0" s="7">
        <f>IF(suivi[[#This Row],['#support.nom]]="","",COUNTIF(suivi['#support.nom],suivi[[#This Row],['#support.nom]]))</f>
        <v>98</v>
      </c>
      <c r="T40" s="1"/>
      <c r="V40" s="4"/>
      <c r="AH40" t="str" cm="1">
        <f t="array" ref="AH40">_xlfn._xlws.FILTER(saisons[nom],(saisons[debut]&lt;=suivi[[#This Row],[date]])*(saisons[fin]&gt;=suivi[[#This Row],[date]]))</f>
        <v>2023-2024</v>
      </c>
      <c r="AI40">
        <f>MIN(COUNTIFS(suivi[entree.categorie],"Evènement",suivi[entree.nom],suivi[[#This Row],[entree.nom]]),1)</f>
        <v>0</v>
      </c>
      <c r="AK40" t="str" cm="1">
        <f t="array" ref="AK40">IFERROR(_xlfn.TEXTJOIN(",",TRUE,_xlfn.UNIQUE(_xlfn._xlws.FILTER(suivi['#support.traite_manuel],(suivi[[#This Row],['#support.nom]]&lt;&gt;"")*(suivi['#support.nom]=suivi[[#This Row],['#support.nom]])))),"-")</f>
        <v/>
      </c>
    </row>
    <row r="41" spans="1:37" x14ac:dyDescent="0.25">
      <c r="A41" s="1">
        <v>45199</v>
      </c>
      <c r="B41">
        <f>ROW(suivi[[#This Row],['#support.id]])-ROW(suivi[[#Headers],['#support.saison_en_cours]])</f>
        <v>38</v>
      </c>
      <c r="C41" s="7" t="str">
        <f>IF(suivi[[#This Row],['#support.saison]]=saison_en_cours,1,"")</f>
        <v/>
      </c>
      <c r="D41" t="s">
        <v>6</v>
      </c>
      <c r="E41" t="s">
        <v>678</v>
      </c>
      <c r="G41" s="10">
        <v>1</v>
      </c>
      <c r="I41" t="s">
        <v>438</v>
      </c>
      <c r="J41" s="26">
        <v>15</v>
      </c>
      <c r="K41" s="26"/>
      <c r="M41" t="s">
        <v>613</v>
      </c>
      <c r="P4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1" s="7">
        <f>IF(suivi[[#This Row],['#support.nom]]="","",COUNTIF(suivi['#support.nom],suivi[[#This Row],['#support.nom]]))</f>
        <v>98</v>
      </c>
      <c r="T41" s="1"/>
      <c r="V41" s="4"/>
      <c r="AH41" t="str" cm="1">
        <f t="array" ref="AH41">_xlfn._xlws.FILTER(saisons[nom],(saisons[debut]&lt;=suivi[[#This Row],[date]])*(saisons[fin]&gt;=suivi[[#This Row],[date]]))</f>
        <v>2023-2024</v>
      </c>
      <c r="AI41">
        <f>MIN(COUNTIFS(suivi[entree.categorie],"Evènement",suivi[entree.nom],suivi[[#This Row],[entree.nom]]),1)</f>
        <v>0</v>
      </c>
      <c r="AK41" t="str" cm="1">
        <f t="array" ref="AK41">IFERROR(_xlfn.TEXTJOIN(",",TRUE,_xlfn.UNIQUE(_xlfn._xlws.FILTER(suivi['#support.traite_manuel],(suivi[[#This Row],['#support.nom]]&lt;&gt;"")*(suivi['#support.nom]=suivi[[#This Row],['#support.nom]])))),"-")</f>
        <v/>
      </c>
    </row>
    <row r="42" spans="1:37" x14ac:dyDescent="0.25">
      <c r="A42" s="1">
        <v>45205</v>
      </c>
      <c r="B42">
        <f>ROW(suivi[[#This Row],['#support.id]])-ROW(suivi[[#Headers],['#support.saison_en_cours]])</f>
        <v>39</v>
      </c>
      <c r="C42" s="7" t="str">
        <f>IF(suivi[[#This Row],['#support.saison]]=saison_en_cours,1,"")</f>
        <v/>
      </c>
      <c r="D42" t="s">
        <v>7</v>
      </c>
      <c r="G42" s="10">
        <v>1</v>
      </c>
      <c r="J42" s="26"/>
      <c r="K42" s="26"/>
      <c r="P4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2" s="7">
        <f>IF(suivi[[#This Row],['#support.nom]]="","",COUNTIF(suivi['#support.nom],suivi[[#This Row],['#support.nom]]))</f>
        <v>98</v>
      </c>
      <c r="T42" s="1"/>
      <c r="V42" s="4"/>
      <c r="AH42" t="str" cm="1">
        <f t="array" ref="AH42">_xlfn._xlws.FILTER(saisons[nom],(saisons[debut]&lt;=suivi[[#This Row],[date]])*(saisons[fin]&gt;=suivi[[#This Row],[date]]))</f>
        <v>2023-2024</v>
      </c>
      <c r="AI42">
        <f>MIN(COUNTIFS(suivi[entree.categorie],"Evènement",suivi[entree.nom],suivi[[#This Row],[entree.nom]]),1)</f>
        <v>0</v>
      </c>
      <c r="AK42" t="str" cm="1">
        <f t="array" ref="AK42">IFERROR(_xlfn.TEXTJOIN(",",TRUE,_xlfn.UNIQUE(_xlfn._xlws.FILTER(suivi['#support.traite_manuel],(suivi[[#This Row],['#support.nom]]&lt;&gt;"")*(suivi['#support.nom]=suivi[[#This Row],['#support.nom]])))),"-")</f>
        <v/>
      </c>
    </row>
    <row r="43" spans="1:37" x14ac:dyDescent="0.25">
      <c r="A43" s="1">
        <v>45211</v>
      </c>
      <c r="B43" s="28">
        <f>ROW(suivi[[#This Row],['#support.id]])-ROW(suivi[[#Headers],['#support.saison_en_cours]])</f>
        <v>40</v>
      </c>
      <c r="C43" s="31" t="str">
        <f>IF(suivi[[#This Row],['#support.saison]]=saison_en_cours,1,"")</f>
        <v/>
      </c>
      <c r="D43" t="s">
        <v>0</v>
      </c>
      <c r="E43" t="s">
        <v>696</v>
      </c>
      <c r="F43" t="s">
        <v>697</v>
      </c>
      <c r="G43" s="10"/>
      <c r="I43" t="s">
        <v>261</v>
      </c>
      <c r="J43" s="38"/>
      <c r="K43" s="38">
        <v>-15</v>
      </c>
      <c r="P43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2023_Emission Chèque 7036105 - Trésor Public_40</v>
      </c>
      <c r="Q43" s="31">
        <f>IF(suivi[[#This Row],['#support.nom]]="","",COUNTIF(suivi['#support.nom],suivi[[#This Row],['#support.nom]]))</f>
        <v>1</v>
      </c>
      <c r="T43" s="1"/>
      <c r="V43" s="4"/>
      <c r="AH43" s="28" t="str" cm="1">
        <f t="array" ref="AH43">_xlfn._xlws.FILTER(saisons[nom],(saisons[debut]&lt;=suivi[[#This Row],[date]])*(saisons[fin]&gt;=suivi[[#This Row],[date]]))</f>
        <v>2023-2024</v>
      </c>
      <c r="AI43" s="28">
        <f>MIN(COUNTIFS(suivi[entree.categorie],"Evènement",suivi[entree.nom],suivi[[#This Row],[entree.nom]]),1)</f>
        <v>1</v>
      </c>
      <c r="AK43" s="28" t="str" cm="1">
        <f t="array" ref="AK43">IFERROR(_xlfn.TEXTJOIN(",",TRUE,_xlfn.UNIQUE(_xlfn._xlws.FILTER(suivi['#support.traite_manuel],(suivi[[#This Row],['#support.nom]]&lt;&gt;"")*(suivi['#support.nom]=suivi[[#This Row],['#support.nom]])))),"-")</f>
        <v/>
      </c>
    </row>
    <row r="44" spans="1:37" x14ac:dyDescent="0.25">
      <c r="A44" s="1">
        <v>45212</v>
      </c>
      <c r="B44">
        <f>ROW(suivi[[#This Row],['#support.id]])-ROW(suivi[[#Headers],['#support.saison_en_cours]])</f>
        <v>41</v>
      </c>
      <c r="C44" s="7" t="str">
        <f>IF(suivi[[#This Row],['#support.saison]]=saison_en_cours,1,"")</f>
        <v/>
      </c>
      <c r="D44" t="s">
        <v>7</v>
      </c>
      <c r="G44" s="10">
        <v>1</v>
      </c>
      <c r="J44" s="26"/>
      <c r="K44" s="26"/>
      <c r="P4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4" s="7">
        <f>IF(suivi[[#This Row],['#support.nom]]="","",COUNTIF(suivi['#support.nom],suivi[[#This Row],['#support.nom]]))</f>
        <v>98</v>
      </c>
      <c r="T44" s="1"/>
      <c r="V44" s="4"/>
      <c r="AH44" t="str" cm="1">
        <f t="array" ref="AH44">_xlfn._xlws.FILTER(saisons[nom],(saisons[debut]&lt;=suivi[[#This Row],[date]])*(saisons[fin]&gt;=suivi[[#This Row],[date]]))</f>
        <v>2023-2024</v>
      </c>
      <c r="AI44">
        <f>MIN(COUNTIFS(suivi[entree.categorie],"Evènement",suivi[entree.nom],suivi[[#This Row],[entree.nom]]),1)</f>
        <v>0</v>
      </c>
      <c r="AK44" t="str" cm="1">
        <f t="array" ref="AK44">IFERROR(_xlfn.TEXTJOIN(",",TRUE,_xlfn.UNIQUE(_xlfn._xlws.FILTER(suivi['#support.traite_manuel],(suivi[[#This Row],['#support.nom]]&lt;&gt;"")*(suivi['#support.nom]=suivi[[#This Row],['#support.nom]])))),"-")</f>
        <v/>
      </c>
    </row>
    <row r="45" spans="1:37" x14ac:dyDescent="0.25">
      <c r="A45" s="1">
        <v>45219</v>
      </c>
      <c r="B45">
        <f>ROW(suivi[[#This Row],['#support.id]])-ROW(suivi[[#Headers],['#support.saison_en_cours]])</f>
        <v>42</v>
      </c>
      <c r="C45" s="7" t="str">
        <f>IF(suivi[[#This Row],['#support.saison]]=saison_en_cours,1,"")</f>
        <v/>
      </c>
      <c r="D45" t="s">
        <v>7</v>
      </c>
      <c r="G45" s="10">
        <v>1</v>
      </c>
      <c r="J45" s="26"/>
      <c r="K45" s="26"/>
      <c r="P4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5" s="7">
        <f>IF(suivi[[#This Row],['#support.nom]]="","",COUNTIF(suivi['#support.nom],suivi[[#This Row],['#support.nom]]))</f>
        <v>98</v>
      </c>
      <c r="T45" s="1"/>
      <c r="V45" s="4"/>
      <c r="AH45" t="str" cm="1">
        <f t="array" ref="AH45">_xlfn._xlws.FILTER(saisons[nom],(saisons[debut]&lt;=suivi[[#This Row],[date]])*(saisons[fin]&gt;=suivi[[#This Row],[date]]))</f>
        <v>2023-2024</v>
      </c>
      <c r="AI45">
        <f>MIN(COUNTIFS(suivi[entree.categorie],"Evènement",suivi[entree.nom],suivi[[#This Row],[entree.nom]]),1)</f>
        <v>0</v>
      </c>
      <c r="AK45" t="str" cm="1">
        <f t="array" ref="AK45">IFERROR(_xlfn.TEXTJOIN(",",TRUE,_xlfn.UNIQUE(_xlfn._xlws.FILTER(suivi['#support.traite_manuel],(suivi[[#This Row],['#support.nom]]&lt;&gt;"")*(suivi['#support.nom]=suivi[[#This Row],['#support.nom]])))),"-")</f>
        <v/>
      </c>
    </row>
    <row r="46" spans="1:37" x14ac:dyDescent="0.25">
      <c r="A46" s="1">
        <v>45240</v>
      </c>
      <c r="B46">
        <f>ROW(suivi[[#This Row],['#support.id]])-ROW(suivi[[#Headers],['#support.saison_en_cours]])</f>
        <v>43</v>
      </c>
      <c r="C46" s="7" t="str">
        <f>IF(suivi[[#This Row],['#support.saison]]=saison_en_cours,1,"")</f>
        <v/>
      </c>
      <c r="D46" t="s">
        <v>7</v>
      </c>
      <c r="G46" s="10">
        <v>1</v>
      </c>
      <c r="J46" s="26"/>
      <c r="K46" s="26"/>
      <c r="P4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6" s="7">
        <f>IF(suivi[[#This Row],['#support.nom]]="","",COUNTIF(suivi['#support.nom],suivi[[#This Row],['#support.nom]]))</f>
        <v>98</v>
      </c>
      <c r="T46" s="1"/>
      <c r="V46" s="4"/>
      <c r="AH46" t="str" cm="1">
        <f t="array" ref="AH46">_xlfn._xlws.FILTER(saisons[nom],(saisons[debut]&lt;=suivi[[#This Row],[date]])*(saisons[fin]&gt;=suivi[[#This Row],[date]]))</f>
        <v>2023-2024</v>
      </c>
      <c r="AI46">
        <f>MIN(COUNTIFS(suivi[entree.categorie],"Evènement",suivi[entree.nom],suivi[[#This Row],[entree.nom]]),1)</f>
        <v>0</v>
      </c>
      <c r="AK46" t="str" cm="1">
        <f t="array" ref="AK46">IFERROR(_xlfn.TEXTJOIN(",",TRUE,_xlfn.UNIQUE(_xlfn._xlws.FILTER(suivi['#support.traite_manuel],(suivi[[#This Row],['#support.nom]]&lt;&gt;"")*(suivi['#support.nom]=suivi[[#This Row],['#support.nom]])))),"-")</f>
        <v/>
      </c>
    </row>
    <row r="47" spans="1:37" x14ac:dyDescent="0.25">
      <c r="A47" s="1">
        <v>45247</v>
      </c>
      <c r="B47">
        <f>ROW(suivi[[#This Row],['#support.id]])-ROW(suivi[[#Headers],['#support.saison_en_cours]])</f>
        <v>44</v>
      </c>
      <c r="C47" s="7" t="str">
        <f>IF(suivi[[#This Row],['#support.saison]]=saison_en_cours,1,"")</f>
        <v/>
      </c>
      <c r="D47" t="s">
        <v>7</v>
      </c>
      <c r="G47" s="10">
        <v>1</v>
      </c>
      <c r="J47" s="26"/>
      <c r="K47" s="26"/>
      <c r="P4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7" s="7">
        <f>IF(suivi[[#This Row],['#support.nom]]="","",COUNTIF(suivi['#support.nom],suivi[[#This Row],['#support.nom]]))</f>
        <v>98</v>
      </c>
      <c r="T47" s="1"/>
      <c r="V47" s="4"/>
      <c r="AH47" t="str" cm="1">
        <f t="array" ref="AH47">_xlfn._xlws.FILTER(saisons[nom],(saisons[debut]&lt;=suivi[[#This Row],[date]])*(saisons[fin]&gt;=suivi[[#This Row],[date]]))</f>
        <v>2023-2024</v>
      </c>
      <c r="AI47">
        <f>MIN(COUNTIFS(suivi[entree.categorie],"Evènement",suivi[entree.nom],suivi[[#This Row],[entree.nom]]),1)</f>
        <v>0</v>
      </c>
      <c r="AK47" t="str" cm="1">
        <f t="array" ref="AK47">IFERROR(_xlfn.TEXTJOIN(",",TRUE,_xlfn.UNIQUE(_xlfn._xlws.FILTER(suivi['#support.traite_manuel],(suivi[[#This Row],['#support.nom]]&lt;&gt;"")*(suivi['#support.nom]=suivi[[#This Row],['#support.nom]])))),"-")</f>
        <v/>
      </c>
    </row>
    <row r="48" spans="1:37" x14ac:dyDescent="0.25">
      <c r="A48" s="1">
        <v>45254</v>
      </c>
      <c r="B48">
        <f>ROW(suivi[[#This Row],['#support.id]])-ROW(suivi[[#Headers],['#support.saison_en_cours]])</f>
        <v>45</v>
      </c>
      <c r="C48" s="7" t="str">
        <f>IF(suivi[[#This Row],['#support.saison]]=saison_en_cours,1,"")</f>
        <v/>
      </c>
      <c r="D48" t="s">
        <v>7</v>
      </c>
      <c r="G48" s="10">
        <v>1</v>
      </c>
      <c r="J48" s="26"/>
      <c r="K48" s="26"/>
      <c r="P4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8" s="7">
        <f>IF(suivi[[#This Row],['#support.nom]]="","",COUNTIF(suivi['#support.nom],suivi[[#This Row],['#support.nom]]))</f>
        <v>98</v>
      </c>
      <c r="T48" s="1"/>
      <c r="V48" s="4"/>
      <c r="AH48" t="str" cm="1">
        <f t="array" ref="AH48">_xlfn._xlws.FILTER(saisons[nom],(saisons[debut]&lt;=suivi[[#This Row],[date]])*(saisons[fin]&gt;=suivi[[#This Row],[date]]))</f>
        <v>2023-2024</v>
      </c>
      <c r="AI48">
        <f>MIN(COUNTIFS(suivi[entree.categorie],"Evènement",suivi[entree.nom],suivi[[#This Row],[entree.nom]]),1)</f>
        <v>0</v>
      </c>
      <c r="AK48" t="str" cm="1">
        <f t="array" ref="AK48">IFERROR(_xlfn.TEXTJOIN(",",TRUE,_xlfn.UNIQUE(_xlfn._xlws.FILTER(suivi['#support.traite_manuel],(suivi[[#This Row],['#support.nom]]&lt;&gt;"")*(suivi['#support.nom]=suivi[[#This Row],['#support.nom]])))),"-")</f>
        <v/>
      </c>
    </row>
    <row r="49" spans="1:37" x14ac:dyDescent="0.25">
      <c r="A49" s="1">
        <v>45261</v>
      </c>
      <c r="B49">
        <f>ROW(suivi[[#This Row],['#support.id]])-ROW(suivi[[#Headers],['#support.saison_en_cours]])</f>
        <v>46</v>
      </c>
      <c r="C49" s="7" t="str">
        <f>IF(suivi[[#This Row],['#support.saison]]=saison_en_cours,1,"")</f>
        <v/>
      </c>
      <c r="D49" t="s">
        <v>7</v>
      </c>
      <c r="G49" s="10">
        <v>1</v>
      </c>
      <c r="J49" s="26"/>
      <c r="K49" s="26"/>
      <c r="P4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9" s="7">
        <f>IF(suivi[[#This Row],['#support.nom]]="","",COUNTIF(suivi['#support.nom],suivi[[#This Row],['#support.nom]]))</f>
        <v>98</v>
      </c>
      <c r="T49" s="1"/>
      <c r="V49" s="4"/>
      <c r="AH49" t="str" cm="1">
        <f t="array" ref="AH49">_xlfn._xlws.FILTER(saisons[nom],(saisons[debut]&lt;=suivi[[#This Row],[date]])*(saisons[fin]&gt;=suivi[[#This Row],[date]]))</f>
        <v>2023-2024</v>
      </c>
      <c r="AI49">
        <f>MIN(COUNTIFS(suivi[entree.categorie],"Evènement",suivi[entree.nom],suivi[[#This Row],[entree.nom]]),1)</f>
        <v>0</v>
      </c>
      <c r="AK49" t="str" cm="1">
        <f t="array" ref="AK49">IFERROR(_xlfn.TEXTJOIN(",",TRUE,_xlfn.UNIQUE(_xlfn._xlws.FILTER(suivi['#support.traite_manuel],(suivi[[#This Row],['#support.nom]]&lt;&gt;"")*(suivi['#support.nom]=suivi[[#This Row],['#support.nom]])))),"-")</f>
        <v/>
      </c>
    </row>
    <row r="50" spans="1:37" x14ac:dyDescent="0.25">
      <c r="A50" s="1">
        <v>45268</v>
      </c>
      <c r="B50">
        <f>ROW(suivi[[#This Row],['#support.id]])-ROW(suivi[[#Headers],['#support.saison_en_cours]])</f>
        <v>47</v>
      </c>
      <c r="C50" s="7" t="str">
        <f>IF(suivi[[#This Row],['#support.saison]]=saison_en_cours,1,"")</f>
        <v/>
      </c>
      <c r="D50" t="s">
        <v>7</v>
      </c>
      <c r="G50" s="10">
        <v>1</v>
      </c>
      <c r="J50" s="26"/>
      <c r="K50" s="26"/>
      <c r="P5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0" s="7">
        <f>IF(suivi[[#This Row],['#support.nom]]="","",COUNTIF(suivi['#support.nom],suivi[[#This Row],['#support.nom]]))</f>
        <v>98</v>
      </c>
      <c r="T50" s="1"/>
      <c r="V50" s="4"/>
      <c r="AH50" t="str" cm="1">
        <f t="array" ref="AH50">_xlfn._xlws.FILTER(saisons[nom],(saisons[debut]&lt;=suivi[[#This Row],[date]])*(saisons[fin]&gt;=suivi[[#This Row],[date]]))</f>
        <v>2023-2024</v>
      </c>
      <c r="AI50">
        <f>MIN(COUNTIFS(suivi[entree.categorie],"Evènement",suivi[entree.nom],suivi[[#This Row],[entree.nom]]),1)</f>
        <v>0</v>
      </c>
      <c r="AK50" t="str" cm="1">
        <f t="array" ref="AK50">IFERROR(_xlfn.TEXTJOIN(",",TRUE,_xlfn.UNIQUE(_xlfn._xlws.FILTER(suivi['#support.traite_manuel],(suivi[[#This Row],['#support.nom]]&lt;&gt;"")*(suivi['#support.nom]=suivi[[#This Row],['#support.nom]])))),"-")</f>
        <v/>
      </c>
    </row>
    <row r="51" spans="1:37" x14ac:dyDescent="0.25">
      <c r="A51" s="1">
        <v>45275</v>
      </c>
      <c r="B51">
        <f>ROW(suivi[[#This Row],['#support.id]])-ROW(suivi[[#Headers],['#support.saison_en_cours]])</f>
        <v>48</v>
      </c>
      <c r="C51" s="7" t="str">
        <f>IF(suivi[[#This Row],['#support.saison]]=saison_en_cours,1,"")</f>
        <v/>
      </c>
      <c r="D51" t="s">
        <v>7</v>
      </c>
      <c r="G51" s="10">
        <v>1</v>
      </c>
      <c r="J51" s="26"/>
      <c r="K51" s="26"/>
      <c r="P5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1" s="7">
        <f>IF(suivi[[#This Row],['#support.nom]]="","",COUNTIF(suivi['#support.nom],suivi[[#This Row],['#support.nom]]))</f>
        <v>98</v>
      </c>
      <c r="T51" s="1"/>
      <c r="V51" s="4"/>
      <c r="AH51" t="str" cm="1">
        <f t="array" ref="AH51">_xlfn._xlws.FILTER(saisons[nom],(saisons[debut]&lt;=suivi[[#This Row],[date]])*(saisons[fin]&gt;=suivi[[#This Row],[date]]))</f>
        <v>2023-2024</v>
      </c>
      <c r="AI51">
        <f>MIN(COUNTIFS(suivi[entree.categorie],"Evènement",suivi[entree.nom],suivi[[#This Row],[entree.nom]]),1)</f>
        <v>0</v>
      </c>
      <c r="AK51" t="str" cm="1">
        <f t="array" ref="AK51">IFERROR(_xlfn.TEXTJOIN(",",TRUE,_xlfn.UNIQUE(_xlfn._xlws.FILTER(suivi['#support.traite_manuel],(suivi[[#This Row],['#support.nom]]&lt;&gt;"")*(suivi['#support.nom]=suivi[[#This Row],['#support.nom]])))),"-")</f>
        <v/>
      </c>
    </row>
    <row r="52" spans="1:37" x14ac:dyDescent="0.25">
      <c r="A52" s="1">
        <v>45282</v>
      </c>
      <c r="B52">
        <f>ROW(suivi[[#This Row],['#support.id]])-ROW(suivi[[#Headers],['#support.saison_en_cours]])</f>
        <v>49</v>
      </c>
      <c r="C52" s="7" t="str">
        <f>IF(suivi[[#This Row],['#support.saison]]=saison_en_cours,1,"")</f>
        <v/>
      </c>
      <c r="D52" t="s">
        <v>7</v>
      </c>
      <c r="G52" s="10">
        <v>1</v>
      </c>
      <c r="J52" s="26"/>
      <c r="K52" s="26"/>
      <c r="P5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2" s="7">
        <f>IF(suivi[[#This Row],['#support.nom]]="","",COUNTIF(suivi['#support.nom],suivi[[#This Row],['#support.nom]]))</f>
        <v>98</v>
      </c>
      <c r="T52" s="1"/>
      <c r="V52" s="4"/>
      <c r="AH52" t="str" cm="1">
        <f t="array" ref="AH52">_xlfn._xlws.FILTER(saisons[nom],(saisons[debut]&lt;=suivi[[#This Row],[date]])*(saisons[fin]&gt;=suivi[[#This Row],[date]]))</f>
        <v>2023-2024</v>
      </c>
      <c r="AI52">
        <f>MIN(COUNTIFS(suivi[entree.categorie],"Evènement",suivi[entree.nom],suivi[[#This Row],[entree.nom]]),1)</f>
        <v>0</v>
      </c>
      <c r="AK52" t="str" cm="1">
        <f t="array" ref="AK52">IFERROR(_xlfn.TEXTJOIN(",",TRUE,_xlfn.UNIQUE(_xlfn._xlws.FILTER(suivi['#support.traite_manuel],(suivi[[#This Row],['#support.nom]]&lt;&gt;"")*(suivi['#support.nom]=suivi[[#This Row],['#support.nom]])))),"-")</f>
        <v/>
      </c>
    </row>
    <row r="53" spans="1:37" x14ac:dyDescent="0.25">
      <c r="A53" s="1">
        <v>45301</v>
      </c>
      <c r="B53" s="28">
        <f>ROW(suivi[[#This Row],['#support.id]])-ROW(suivi[[#Headers],['#support.saison_en_cours]])</f>
        <v>50</v>
      </c>
      <c r="C53" s="31" t="str">
        <f>IF(suivi[[#This Row],['#support.saison]]=saison_en_cours,1,"")</f>
        <v/>
      </c>
      <c r="D53" t="s">
        <v>0</v>
      </c>
      <c r="E53" t="s">
        <v>680</v>
      </c>
      <c r="F53" t="s">
        <v>698</v>
      </c>
      <c r="G53" s="10"/>
      <c r="I53" t="s">
        <v>438</v>
      </c>
      <c r="J53" s="38"/>
      <c r="K53" s="38">
        <v>-17.670000000000002</v>
      </c>
      <c r="P53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2024_Boisson galettes_50</v>
      </c>
      <c r="Q53" s="31">
        <f>IF(suivi[[#This Row],['#support.nom]]="","",COUNTIF(suivi['#support.nom],suivi[[#This Row],['#support.nom]]))</f>
        <v>1</v>
      </c>
      <c r="T53" s="1"/>
      <c r="V53" s="4"/>
      <c r="AH53" s="28" t="str" cm="1">
        <f t="array" ref="AH53">_xlfn._xlws.FILTER(saisons[nom],(saisons[debut]&lt;=suivi[[#This Row],[date]])*(saisons[fin]&gt;=suivi[[#This Row],[date]]))</f>
        <v>2023-2024</v>
      </c>
      <c r="AI53" s="28">
        <f>MIN(COUNTIFS(suivi[entree.categorie],"Evènement",suivi[entree.nom],suivi[[#This Row],[entree.nom]]),1)</f>
        <v>1</v>
      </c>
      <c r="AK53" s="28" t="str" cm="1">
        <f t="array" ref="AK53">IFERROR(_xlfn.TEXTJOIN(",",TRUE,_xlfn.UNIQUE(_xlfn._xlws.FILTER(suivi['#support.traite_manuel],(suivi[[#This Row],['#support.nom]]&lt;&gt;"")*(suivi['#support.nom]=suivi[[#This Row],['#support.nom]])))),"-")</f>
        <v/>
      </c>
    </row>
    <row r="54" spans="1:37" x14ac:dyDescent="0.25">
      <c r="A54" s="1">
        <v>45302</v>
      </c>
      <c r="B54" s="28">
        <f>ROW(suivi[[#This Row],['#support.id]])-ROW(suivi[[#Headers],['#support.saison_en_cours]])</f>
        <v>51</v>
      </c>
      <c r="C54" s="31" t="str">
        <f>IF(suivi[[#This Row],['#support.saison]]=saison_en_cours,1,"")</f>
        <v/>
      </c>
      <c r="D54" t="s">
        <v>0</v>
      </c>
      <c r="E54" t="s">
        <v>680</v>
      </c>
      <c r="F54" t="s">
        <v>699</v>
      </c>
      <c r="G54" s="10"/>
      <c r="I54" t="s">
        <v>438</v>
      </c>
      <c r="J54" s="38"/>
      <c r="K54" s="38">
        <v>-16.239999999999998</v>
      </c>
      <c r="P54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2024_Galette Marianne_51</v>
      </c>
      <c r="Q54" s="31">
        <f>IF(suivi[[#This Row],['#support.nom]]="","",COUNTIF(suivi['#support.nom],suivi[[#This Row],['#support.nom]]))</f>
        <v>1</v>
      </c>
      <c r="T54" s="1"/>
      <c r="V54" s="4"/>
      <c r="AH54" s="28" t="str" cm="1">
        <f t="array" ref="AH54">_xlfn._xlws.FILTER(saisons[nom],(saisons[debut]&lt;=suivi[[#This Row],[date]])*(saisons[fin]&gt;=suivi[[#This Row],[date]]))</f>
        <v>2023-2024</v>
      </c>
      <c r="AI54" s="28">
        <f>MIN(COUNTIFS(suivi[entree.categorie],"Evènement",suivi[entree.nom],suivi[[#This Row],[entree.nom]]),1)</f>
        <v>1</v>
      </c>
      <c r="AK54" s="28" t="str" cm="1">
        <f t="array" ref="AK54">IFERROR(_xlfn.TEXTJOIN(",",TRUE,_xlfn.UNIQUE(_xlfn._xlws.FILTER(suivi['#support.traite_manuel],(suivi[[#This Row],['#support.nom]]&lt;&gt;"")*(suivi['#support.nom]=suivi[[#This Row],['#support.nom]])))),"-")</f>
        <v/>
      </c>
    </row>
    <row r="55" spans="1:37" x14ac:dyDescent="0.25">
      <c r="A55" s="1">
        <v>45303</v>
      </c>
      <c r="B55">
        <f>ROW(suivi[[#This Row],['#support.id]])-ROW(suivi[[#Headers],['#support.saison_en_cours]])</f>
        <v>52</v>
      </c>
      <c r="C55" s="7" t="str">
        <f>IF(suivi[[#This Row],['#support.saison]]=saison_en_cours,1,"")</f>
        <v/>
      </c>
      <c r="D55" t="s">
        <v>7</v>
      </c>
      <c r="E55" t="s">
        <v>680</v>
      </c>
      <c r="G55" s="10">
        <v>1</v>
      </c>
      <c r="J55" s="26"/>
      <c r="K55" s="26"/>
      <c r="P5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5" s="7">
        <f>IF(suivi[[#This Row],['#support.nom]]="","",COUNTIF(suivi['#support.nom],suivi[[#This Row],['#support.nom]]))</f>
        <v>98</v>
      </c>
      <c r="T55" s="1"/>
      <c r="V55" s="4"/>
      <c r="AH55" t="str" cm="1">
        <f t="array" ref="AH55">_xlfn._xlws.FILTER(saisons[nom],(saisons[debut]&lt;=suivi[[#This Row],[date]])*(saisons[fin]&gt;=suivi[[#This Row],[date]]))</f>
        <v>2023-2024</v>
      </c>
      <c r="AI55">
        <f>MIN(COUNTIFS(suivi[entree.categorie],"Evènement",suivi[entree.nom],suivi[[#This Row],[entree.nom]]),1)</f>
        <v>1</v>
      </c>
      <c r="AK55" t="str" cm="1">
        <f t="array" ref="AK55">IFERROR(_xlfn.TEXTJOIN(",",TRUE,_xlfn.UNIQUE(_xlfn._xlws.FILTER(suivi['#support.traite_manuel],(suivi[[#This Row],['#support.nom]]&lt;&gt;"")*(suivi['#support.nom]=suivi[[#This Row],['#support.nom]])))),"-")</f>
        <v/>
      </c>
    </row>
    <row r="56" spans="1:37" x14ac:dyDescent="0.25">
      <c r="A56" s="1">
        <v>45303</v>
      </c>
      <c r="B56" s="28">
        <f>ROW(suivi[[#This Row],['#support.id]])-ROW(suivi[[#Headers],['#support.saison_en_cours]])</f>
        <v>53</v>
      </c>
      <c r="C56" s="31" t="str">
        <f>IF(suivi[[#This Row],['#support.saison]]=saison_en_cours,1,"")</f>
        <v/>
      </c>
      <c r="D56" t="s">
        <v>0</v>
      </c>
      <c r="E56" t="s">
        <v>680</v>
      </c>
      <c r="G56" s="10"/>
      <c r="J56" s="38"/>
      <c r="K56" s="38"/>
      <c r="P56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2024_53</v>
      </c>
      <c r="Q56" s="31">
        <f>IF(suivi[[#This Row],['#support.nom]]="","",COUNTIF(suivi['#support.nom],suivi[[#This Row],['#support.nom]]))</f>
        <v>1</v>
      </c>
      <c r="T56" s="1"/>
      <c r="V56" s="4"/>
      <c r="AH56" s="28" t="str" cm="1">
        <f t="array" ref="AH56">_xlfn._xlws.FILTER(saisons[nom],(saisons[debut]&lt;=suivi[[#This Row],[date]])*(saisons[fin]&gt;=suivi[[#This Row],[date]]))</f>
        <v>2023-2024</v>
      </c>
      <c r="AI56" s="28">
        <f>MIN(COUNTIFS(suivi[entree.categorie],"Evènement",suivi[entree.nom],suivi[[#This Row],[entree.nom]]),1)</f>
        <v>1</v>
      </c>
      <c r="AK56" s="28" t="str" cm="1">
        <f t="array" ref="AK56">IFERROR(_xlfn.TEXTJOIN(",",TRUE,_xlfn.UNIQUE(_xlfn._xlws.FILTER(suivi['#support.traite_manuel],(suivi[[#This Row],['#support.nom]]&lt;&gt;"")*(suivi['#support.nom]=suivi[[#This Row],['#support.nom]])))),"-")</f>
        <v/>
      </c>
    </row>
    <row r="57" spans="1:37" x14ac:dyDescent="0.25">
      <c r="A57" s="1">
        <v>45310</v>
      </c>
      <c r="B57">
        <f>ROW(suivi[[#This Row],['#support.id]])-ROW(suivi[[#Headers],['#support.saison_en_cours]])</f>
        <v>54</v>
      </c>
      <c r="C57" s="7" t="str">
        <f>IF(suivi[[#This Row],['#support.saison]]=saison_en_cours,1,"")</f>
        <v/>
      </c>
      <c r="D57" t="s">
        <v>7</v>
      </c>
      <c r="G57" s="10">
        <v>1</v>
      </c>
      <c r="J57" s="26"/>
      <c r="K57" s="26"/>
      <c r="P5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7" s="7">
        <f>IF(suivi[[#This Row],['#support.nom]]="","",COUNTIF(suivi['#support.nom],suivi[[#This Row],['#support.nom]]))</f>
        <v>98</v>
      </c>
      <c r="T57" s="1"/>
      <c r="V57" s="4"/>
      <c r="AH57" t="str" cm="1">
        <f t="array" ref="AH57">_xlfn._xlws.FILTER(saisons[nom],(saisons[debut]&lt;=suivi[[#This Row],[date]])*(saisons[fin]&gt;=suivi[[#This Row],[date]]))</f>
        <v>2023-2024</v>
      </c>
      <c r="AI57">
        <f>MIN(COUNTIFS(suivi[entree.categorie],"Evènement",suivi[entree.nom],suivi[[#This Row],[entree.nom]]),1)</f>
        <v>0</v>
      </c>
      <c r="AK57" t="str" cm="1">
        <f t="array" ref="AK57">IFERROR(_xlfn.TEXTJOIN(",",TRUE,_xlfn.UNIQUE(_xlfn._xlws.FILTER(suivi['#support.traite_manuel],(suivi[[#This Row],['#support.nom]]&lt;&gt;"")*(suivi['#support.nom]=suivi[[#This Row],['#support.nom]])))),"-")</f>
        <v/>
      </c>
    </row>
    <row r="58" spans="1:37" x14ac:dyDescent="0.25">
      <c r="A58" s="1">
        <v>45317</v>
      </c>
      <c r="B58">
        <f>ROW(suivi[[#This Row],['#support.id]])-ROW(suivi[[#Headers],['#support.saison_en_cours]])</f>
        <v>55</v>
      </c>
      <c r="C58" s="7" t="str">
        <f>IF(suivi[[#This Row],['#support.saison]]=saison_en_cours,1,"")</f>
        <v/>
      </c>
      <c r="D58" t="s">
        <v>7</v>
      </c>
      <c r="G58" s="10">
        <v>1</v>
      </c>
      <c r="J58" s="26"/>
      <c r="K58" s="26"/>
      <c r="P5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8" s="7">
        <f>IF(suivi[[#This Row],['#support.nom]]="","",COUNTIF(suivi['#support.nom],suivi[[#This Row],['#support.nom]]))</f>
        <v>98</v>
      </c>
      <c r="T58" s="1"/>
      <c r="V58" s="4"/>
      <c r="AH58" t="str" cm="1">
        <f t="array" ref="AH58">_xlfn._xlws.FILTER(saisons[nom],(saisons[debut]&lt;=suivi[[#This Row],[date]])*(saisons[fin]&gt;=suivi[[#This Row],[date]]))</f>
        <v>2023-2024</v>
      </c>
      <c r="AI58">
        <f>MIN(COUNTIFS(suivi[entree.categorie],"Evènement",suivi[entree.nom],suivi[[#This Row],[entree.nom]]),1)</f>
        <v>0</v>
      </c>
      <c r="AK58" t="str" cm="1">
        <f t="array" ref="AK58">IFERROR(_xlfn.TEXTJOIN(",",TRUE,_xlfn.UNIQUE(_xlfn._xlws.FILTER(suivi['#support.traite_manuel],(suivi[[#This Row],['#support.nom]]&lt;&gt;"")*(suivi['#support.nom]=suivi[[#This Row],['#support.nom]])))),"-")</f>
        <v/>
      </c>
    </row>
    <row r="59" spans="1:37" x14ac:dyDescent="0.25">
      <c r="A59" s="1">
        <v>45324</v>
      </c>
      <c r="B59">
        <f>ROW(suivi[[#This Row],['#support.id]])-ROW(suivi[[#Headers],['#support.saison_en_cours]])</f>
        <v>56</v>
      </c>
      <c r="C59" s="7" t="str">
        <f>IF(suivi[[#This Row],['#support.saison]]=saison_en_cours,1,"")</f>
        <v/>
      </c>
      <c r="D59" t="s">
        <v>7</v>
      </c>
      <c r="G59" s="10">
        <v>1</v>
      </c>
      <c r="J59" s="26"/>
      <c r="K59" s="26"/>
      <c r="P5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9" s="7">
        <f>IF(suivi[[#This Row],['#support.nom]]="","",COUNTIF(suivi['#support.nom],suivi[[#This Row],['#support.nom]]))</f>
        <v>98</v>
      </c>
      <c r="T59" s="1"/>
      <c r="V59" s="4"/>
      <c r="AH59" t="str" cm="1">
        <f t="array" ref="AH59">_xlfn._xlws.FILTER(saisons[nom],(saisons[debut]&lt;=suivi[[#This Row],[date]])*(saisons[fin]&gt;=suivi[[#This Row],[date]]))</f>
        <v>2023-2024</v>
      </c>
      <c r="AI59">
        <f>MIN(COUNTIFS(suivi[entree.categorie],"Evènement",suivi[entree.nom],suivi[[#This Row],[entree.nom]]),1)</f>
        <v>0</v>
      </c>
      <c r="AK59" t="str" cm="1">
        <f t="array" ref="AK59">IFERROR(_xlfn.TEXTJOIN(",",TRUE,_xlfn.UNIQUE(_xlfn._xlws.FILTER(suivi['#support.traite_manuel],(suivi[[#This Row],['#support.nom]]&lt;&gt;"")*(suivi['#support.nom]=suivi[[#This Row],['#support.nom]])))),"-")</f>
        <v/>
      </c>
    </row>
    <row r="60" spans="1:37" x14ac:dyDescent="0.25">
      <c r="A60" s="1">
        <v>45331</v>
      </c>
      <c r="B60">
        <f>ROW(suivi[[#This Row],['#support.id]])-ROW(suivi[[#Headers],['#support.saison_en_cours]])</f>
        <v>57</v>
      </c>
      <c r="C60" s="7" t="str">
        <f>IF(suivi[[#This Row],['#support.saison]]=saison_en_cours,1,"")</f>
        <v/>
      </c>
      <c r="D60" t="s">
        <v>7</v>
      </c>
      <c r="G60" s="10">
        <v>1</v>
      </c>
      <c r="J60" s="26"/>
      <c r="K60" s="26"/>
      <c r="P6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60" s="7">
        <f>IF(suivi[[#This Row],['#support.nom]]="","",COUNTIF(suivi['#support.nom],suivi[[#This Row],['#support.nom]]))</f>
        <v>98</v>
      </c>
      <c r="T60" s="1"/>
      <c r="V60" s="4"/>
      <c r="AH60" t="str" cm="1">
        <f t="array" ref="AH60">_xlfn._xlws.FILTER(saisons[nom],(saisons[debut]&lt;=suivi[[#This Row],[date]])*(saisons[fin]&gt;=suivi[[#This Row],[date]]))</f>
        <v>2023-2024</v>
      </c>
      <c r="AI60">
        <f>MIN(COUNTIFS(suivi[entree.categorie],"Evènement",suivi[entree.nom],suivi[[#This Row],[entree.nom]]),1)</f>
        <v>0</v>
      </c>
      <c r="AK60" t="str" cm="1">
        <f t="array" ref="AK60">IFERROR(_xlfn.TEXTJOIN(",",TRUE,_xlfn.UNIQUE(_xlfn._xlws.FILTER(suivi['#support.traite_manuel],(suivi[[#This Row],['#support.nom]]&lt;&gt;"")*(suivi['#support.nom]=suivi[[#This Row],['#support.nom]])))),"-")</f>
        <v/>
      </c>
    </row>
    <row r="61" spans="1:37" x14ac:dyDescent="0.25">
      <c r="A61" s="1">
        <v>45338</v>
      </c>
      <c r="B61">
        <f>ROW(suivi[[#This Row],['#support.id]])-ROW(suivi[[#Headers],['#support.saison_en_cours]])</f>
        <v>58</v>
      </c>
      <c r="C61" s="7" t="str">
        <f>IF(suivi[[#This Row],['#support.saison]]=saison_en_cours,1,"")</f>
        <v/>
      </c>
      <c r="D61" t="s">
        <v>7</v>
      </c>
      <c r="G61" s="10">
        <v>1</v>
      </c>
      <c r="J61" s="26"/>
      <c r="K61" s="26"/>
      <c r="P6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61" s="7">
        <f>IF(suivi[[#This Row],['#support.nom]]="","",COUNTIF(suivi['#support.nom],suivi[[#This Row],['#support.nom]]))</f>
        <v>98</v>
      </c>
      <c r="T61" s="1"/>
      <c r="V61" s="4"/>
      <c r="AH61" t="str" cm="1">
        <f t="array" ref="AH61">_xlfn._xlws.FILTER(saisons[nom],(saisons[debut]&lt;=suivi[[#This Row],[date]])*(saisons[fin]&gt;=suivi[[#This Row],[date]]))</f>
        <v>2023-2024</v>
      </c>
      <c r="AI61">
        <f>MIN(COUNTIFS(suivi[entree.categorie],"Evènement",suivi[entree.nom],suivi[[#This Row],[entree.nom]]),1)</f>
        <v>0</v>
      </c>
      <c r="AK61" t="str" cm="1">
        <f t="array" ref="AK61">IFERROR(_xlfn.TEXTJOIN(",",TRUE,_xlfn.UNIQUE(_xlfn._xlws.FILTER(suivi['#support.traite_manuel],(suivi[[#This Row],['#support.nom]]&lt;&gt;"")*(suivi['#support.nom]=suivi[[#This Row],['#support.nom]])))),"-")</f>
        <v/>
      </c>
    </row>
    <row r="62" spans="1:37" x14ac:dyDescent="0.25">
      <c r="A62" s="1">
        <v>45345</v>
      </c>
      <c r="B62" s="28">
        <f>ROW(suivi[[#This Row],['#support.id]])-ROW(suivi[[#Headers],['#support.saison_en_cours]])</f>
        <v>59</v>
      </c>
      <c r="C62" s="31" t="str">
        <f>IF(suivi[[#This Row],['#support.saison]]=saison_en_cours,1,"")</f>
        <v/>
      </c>
      <c r="D62" t="s">
        <v>7</v>
      </c>
      <c r="G62" s="10"/>
      <c r="J62" s="38"/>
      <c r="K62" s="38"/>
      <c r="L62" t="s">
        <v>695</v>
      </c>
      <c r="P62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Présence_59</v>
      </c>
      <c r="Q62" s="31">
        <f>IF(suivi[[#This Row],['#support.nom]]="","",COUNTIF(suivi['#support.nom],suivi[[#This Row],['#support.nom]]))</f>
        <v>1</v>
      </c>
      <c r="T62" s="1"/>
      <c r="V62" s="4"/>
      <c r="AH62" s="28" t="str" cm="1">
        <f t="array" ref="AH62">_xlfn._xlws.FILTER(saisons[nom],(saisons[debut]&lt;=suivi[[#This Row],[date]])*(saisons[fin]&gt;=suivi[[#This Row],[date]]))</f>
        <v>2023-2024</v>
      </c>
      <c r="AI62" s="28">
        <f>MIN(COUNTIFS(suivi[entree.categorie],"Evènement",suivi[entree.nom],suivi[[#This Row],[entree.nom]]),1)</f>
        <v>0</v>
      </c>
      <c r="AK62" s="28" t="str" cm="1">
        <f t="array" ref="AK62">IFERROR(_xlfn.TEXTJOIN(",",TRUE,_xlfn.UNIQUE(_xlfn._xlws.FILTER(suivi['#support.traite_manuel],(suivi[[#This Row],['#support.nom]]&lt;&gt;"")*(suivi['#support.nom]=suivi[[#This Row],['#support.nom]])))),"-")</f>
        <v/>
      </c>
    </row>
    <row r="63" spans="1:37" x14ac:dyDescent="0.25">
      <c r="A63" s="1">
        <v>45345</v>
      </c>
      <c r="B63" s="28">
        <f>ROW(suivi[[#This Row],['#support.id]])-ROW(suivi[[#Headers],['#support.saison_en_cours]])</f>
        <v>60</v>
      </c>
      <c r="C63" s="31" t="str">
        <f>IF(suivi[[#This Row],['#support.saison]]=saison_en_cours,1,"")</f>
        <v/>
      </c>
      <c r="D63" t="s">
        <v>7</v>
      </c>
      <c r="G63" s="10"/>
      <c r="J63" s="38"/>
      <c r="K63" s="38"/>
      <c r="L63" t="s">
        <v>695</v>
      </c>
      <c r="P63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Présence_60</v>
      </c>
      <c r="Q63" s="31">
        <f>IF(suivi[[#This Row],['#support.nom]]="","",COUNTIF(suivi['#support.nom],suivi[[#This Row],['#support.nom]]))</f>
        <v>1</v>
      </c>
      <c r="T63" s="1"/>
      <c r="V63" s="4"/>
      <c r="AH63" s="28" t="str" cm="1">
        <f t="array" ref="AH63">_xlfn._xlws.FILTER(saisons[nom],(saisons[debut]&lt;=suivi[[#This Row],[date]])*(saisons[fin]&gt;=suivi[[#This Row],[date]]))</f>
        <v>2023-2024</v>
      </c>
      <c r="AI63" s="28">
        <f>MIN(COUNTIFS(suivi[entree.categorie],"Evènement",suivi[entree.nom],suivi[[#This Row],[entree.nom]]),1)</f>
        <v>0</v>
      </c>
      <c r="AK63" s="28" t="str" cm="1">
        <f t="array" ref="AK63">IFERROR(_xlfn.TEXTJOIN(",",TRUE,_xlfn.UNIQUE(_xlfn._xlws.FILTER(suivi['#support.traite_manuel],(suivi[[#This Row],['#support.nom]]&lt;&gt;"")*(suivi['#support.nom]=suivi[[#This Row],['#support.nom]])))),"-")</f>
        <v/>
      </c>
    </row>
    <row r="64" spans="1:37" x14ac:dyDescent="0.25">
      <c r="A64" s="1">
        <v>45345</v>
      </c>
      <c r="B64" s="28">
        <f>ROW(suivi[[#This Row],['#support.id]])-ROW(suivi[[#Headers],['#support.saison_en_cours]])</f>
        <v>61</v>
      </c>
      <c r="C64" s="31" t="str">
        <f>IF(suivi[[#This Row],['#support.saison]]=saison_en_cours,1,"")</f>
        <v/>
      </c>
      <c r="D64" t="s">
        <v>7</v>
      </c>
      <c r="G64" s="10"/>
      <c r="J64" s="38"/>
      <c r="K64" s="38"/>
      <c r="L64" t="s">
        <v>695</v>
      </c>
      <c r="P64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Présence_61</v>
      </c>
      <c r="Q64" s="31">
        <f>IF(suivi[[#This Row],['#support.nom]]="","",COUNTIF(suivi['#support.nom],suivi[[#This Row],['#support.nom]]))</f>
        <v>1</v>
      </c>
      <c r="T64" s="1"/>
      <c r="V64" s="4"/>
      <c r="AH64" s="28" t="str" cm="1">
        <f t="array" ref="AH64">_xlfn._xlws.FILTER(saisons[nom],(saisons[debut]&lt;=suivi[[#This Row],[date]])*(saisons[fin]&gt;=suivi[[#This Row],[date]]))</f>
        <v>2023-2024</v>
      </c>
      <c r="AI64" s="28">
        <f>MIN(COUNTIFS(suivi[entree.categorie],"Evènement",suivi[entree.nom],suivi[[#This Row],[entree.nom]]),1)</f>
        <v>0</v>
      </c>
      <c r="AK64" s="28" t="str" cm="1">
        <f t="array" ref="AK64">IFERROR(_xlfn.TEXTJOIN(",",TRUE,_xlfn.UNIQUE(_xlfn._xlws.FILTER(suivi['#support.traite_manuel],(suivi[[#This Row],['#support.nom]]&lt;&gt;"")*(suivi['#support.nom]=suivi[[#This Row],['#support.nom]])))),"-")</f>
        <v/>
      </c>
    </row>
    <row r="65" spans="1:37" x14ac:dyDescent="0.25">
      <c r="A65" s="1">
        <v>45345</v>
      </c>
      <c r="B65" s="28">
        <f>ROW(suivi[[#This Row],['#support.id]])-ROW(suivi[[#Headers],['#support.saison_en_cours]])</f>
        <v>62</v>
      </c>
      <c r="C65" s="31" t="str">
        <f>IF(suivi[[#This Row],['#support.saison]]=saison_en_cours,1,"")</f>
        <v/>
      </c>
      <c r="D65" t="s">
        <v>7</v>
      </c>
      <c r="G65" s="10"/>
      <c r="J65" s="38"/>
      <c r="K65" s="38"/>
      <c r="L65" t="s">
        <v>695</v>
      </c>
      <c r="P65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Présence_62</v>
      </c>
      <c r="Q65" s="31">
        <f>IF(suivi[[#This Row],['#support.nom]]="","",COUNTIF(suivi['#support.nom],suivi[[#This Row],['#support.nom]]))</f>
        <v>1</v>
      </c>
      <c r="T65" s="1"/>
      <c r="V65" s="4"/>
      <c r="AH65" s="28" t="str" cm="1">
        <f t="array" ref="AH65">_xlfn._xlws.FILTER(saisons[nom],(saisons[debut]&lt;=suivi[[#This Row],[date]])*(saisons[fin]&gt;=suivi[[#This Row],[date]]))</f>
        <v>2023-2024</v>
      </c>
      <c r="AI65" s="28">
        <f>MIN(COUNTIFS(suivi[entree.categorie],"Evènement",suivi[entree.nom],suivi[[#This Row],[entree.nom]]),1)</f>
        <v>0</v>
      </c>
      <c r="AK65" s="28" t="str" cm="1">
        <f t="array" ref="AK65">IFERROR(_xlfn.TEXTJOIN(",",TRUE,_xlfn.UNIQUE(_xlfn._xlws.FILTER(suivi['#support.traite_manuel],(suivi[[#This Row],['#support.nom]]&lt;&gt;"")*(suivi['#support.nom]=suivi[[#This Row],['#support.nom]])))),"-")</f>
        <v/>
      </c>
    </row>
    <row r="66" spans="1:37" x14ac:dyDescent="0.25">
      <c r="A66" s="1">
        <v>45345</v>
      </c>
      <c r="B66" s="28">
        <f>ROW(suivi[[#This Row],['#support.id]])-ROW(suivi[[#Headers],['#support.saison_en_cours]])</f>
        <v>63</v>
      </c>
      <c r="C66" s="31" t="str">
        <f>IF(suivi[[#This Row],['#support.saison]]=saison_en_cours,1,"")</f>
        <v/>
      </c>
      <c r="D66" t="s">
        <v>7</v>
      </c>
      <c r="G66" s="10"/>
      <c r="J66" s="38"/>
      <c r="K66" s="38"/>
      <c r="L66" t="s">
        <v>695</v>
      </c>
      <c r="P66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Présence_63</v>
      </c>
      <c r="Q66" s="31">
        <f>IF(suivi[[#This Row],['#support.nom]]="","",COUNTIF(suivi['#support.nom],suivi[[#This Row],['#support.nom]]))</f>
        <v>1</v>
      </c>
      <c r="T66" s="1"/>
      <c r="V66" s="4"/>
      <c r="AH66" s="28" t="str" cm="1">
        <f t="array" ref="AH66">_xlfn._xlws.FILTER(saisons[nom],(saisons[debut]&lt;=suivi[[#This Row],[date]])*(saisons[fin]&gt;=suivi[[#This Row],[date]]))</f>
        <v>2023-2024</v>
      </c>
      <c r="AI66" s="28">
        <f>MIN(COUNTIFS(suivi[entree.categorie],"Evènement",suivi[entree.nom],suivi[[#This Row],[entree.nom]]),1)</f>
        <v>0</v>
      </c>
      <c r="AK66" s="28" t="str" cm="1">
        <f t="array" ref="AK66">IFERROR(_xlfn.TEXTJOIN(",",TRUE,_xlfn.UNIQUE(_xlfn._xlws.FILTER(suivi['#support.traite_manuel],(suivi[[#This Row],['#support.nom]]&lt;&gt;"")*(suivi['#support.nom]=suivi[[#This Row],['#support.nom]])))),"-")</f>
        <v/>
      </c>
    </row>
    <row r="67" spans="1:37" x14ac:dyDescent="0.25">
      <c r="A67" s="1">
        <v>45352</v>
      </c>
      <c r="B67">
        <f>ROW(suivi[[#This Row],['#support.id]])-ROW(suivi[[#Headers],['#support.saison_en_cours]])</f>
        <v>64</v>
      </c>
      <c r="C67" s="7" t="str">
        <f>IF(suivi[[#This Row],['#support.saison]]=saison_en_cours,1,"")</f>
        <v/>
      </c>
      <c r="D67" t="s">
        <v>7</v>
      </c>
      <c r="G67" s="10">
        <v>1</v>
      </c>
      <c r="J67" s="26"/>
      <c r="K67" s="26"/>
      <c r="P6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67" s="7">
        <f>IF(suivi[[#This Row],['#support.nom]]="","",COUNTIF(suivi['#support.nom],suivi[[#This Row],['#support.nom]]))</f>
        <v>98</v>
      </c>
      <c r="T67" s="1"/>
      <c r="V67" s="4"/>
      <c r="AH67" t="str" cm="1">
        <f t="array" ref="AH67">_xlfn._xlws.FILTER(saisons[nom],(saisons[debut]&lt;=suivi[[#This Row],[date]])*(saisons[fin]&gt;=suivi[[#This Row],[date]]))</f>
        <v>2023-2024</v>
      </c>
      <c r="AI67">
        <f>MIN(COUNTIFS(suivi[entree.categorie],"Evènement",suivi[entree.nom],suivi[[#This Row],[entree.nom]]),1)</f>
        <v>0</v>
      </c>
      <c r="AK67" t="str" cm="1">
        <f t="array" ref="AK67">IFERROR(_xlfn.TEXTJOIN(",",TRUE,_xlfn.UNIQUE(_xlfn._xlws.FILTER(suivi['#support.traite_manuel],(suivi[[#This Row],['#support.nom]]&lt;&gt;"")*(suivi['#support.nom]=suivi[[#This Row],['#support.nom]])))),"-")</f>
        <v/>
      </c>
    </row>
    <row r="68" spans="1:37" x14ac:dyDescent="0.25">
      <c r="A68" s="1">
        <v>45359</v>
      </c>
      <c r="B68">
        <f>ROW(suivi[[#This Row],['#support.id]])-ROW(suivi[[#Headers],['#support.saison_en_cours]])</f>
        <v>65</v>
      </c>
      <c r="C68" s="7" t="str">
        <f>IF(suivi[[#This Row],['#support.saison]]=saison_en_cours,1,"")</f>
        <v/>
      </c>
      <c r="D68" t="s">
        <v>7</v>
      </c>
      <c r="G68" s="10">
        <v>1</v>
      </c>
      <c r="J68" s="26"/>
      <c r="K68" s="26"/>
      <c r="P6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68" s="7">
        <f>IF(suivi[[#This Row],['#support.nom]]="","",COUNTIF(suivi['#support.nom],suivi[[#This Row],['#support.nom]]))</f>
        <v>98</v>
      </c>
      <c r="T68" s="1"/>
      <c r="V68" s="4"/>
      <c r="AH68" t="str" cm="1">
        <f t="array" ref="AH68">_xlfn._xlws.FILTER(saisons[nom],(saisons[debut]&lt;=suivi[[#This Row],[date]])*(saisons[fin]&gt;=suivi[[#This Row],[date]]))</f>
        <v>2023-2024</v>
      </c>
      <c r="AI68">
        <f>MIN(COUNTIFS(suivi[entree.categorie],"Evènement",suivi[entree.nom],suivi[[#This Row],[entree.nom]]),1)</f>
        <v>0</v>
      </c>
      <c r="AK68" t="str" cm="1">
        <f t="array" ref="AK68">IFERROR(_xlfn.TEXTJOIN(",",TRUE,_xlfn.UNIQUE(_xlfn._xlws.FILTER(suivi['#support.traite_manuel],(suivi[[#This Row],['#support.nom]]&lt;&gt;"")*(suivi['#support.nom]=suivi[[#This Row],['#support.nom]])))),"-")</f>
        <v/>
      </c>
    </row>
    <row r="69" spans="1:37" x14ac:dyDescent="0.25">
      <c r="A69" s="1">
        <v>45359</v>
      </c>
      <c r="B69" s="28">
        <f>ROW(suivi[[#This Row],['#support.id]])-ROW(suivi[[#Headers],['#support.saison_en_cours]])</f>
        <v>66</v>
      </c>
      <c r="C69" s="31" t="str">
        <f>IF(suivi[[#This Row],['#support.saison]]=saison_en_cours,1,"")</f>
        <v/>
      </c>
      <c r="D69" t="s">
        <v>7</v>
      </c>
      <c r="G69" s="10"/>
      <c r="J69" s="38"/>
      <c r="K69" s="38"/>
      <c r="L69" t="s">
        <v>695</v>
      </c>
      <c r="P69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Présence_66</v>
      </c>
      <c r="Q69" s="31">
        <f>IF(suivi[[#This Row],['#support.nom]]="","",COUNTIF(suivi['#support.nom],suivi[[#This Row],['#support.nom]]))</f>
        <v>1</v>
      </c>
      <c r="T69" s="1"/>
      <c r="V69" s="4"/>
      <c r="AH69" s="28" t="str" cm="1">
        <f t="array" ref="AH69">_xlfn._xlws.FILTER(saisons[nom],(saisons[debut]&lt;=suivi[[#This Row],[date]])*(saisons[fin]&gt;=suivi[[#This Row],[date]]))</f>
        <v>2023-2024</v>
      </c>
      <c r="AI69" s="28">
        <f>MIN(COUNTIFS(suivi[entree.categorie],"Evènement",suivi[entree.nom],suivi[[#This Row],[entree.nom]]),1)</f>
        <v>0</v>
      </c>
      <c r="AK69" s="28" t="str" cm="1">
        <f t="array" ref="AK69">IFERROR(_xlfn.TEXTJOIN(",",TRUE,_xlfn.UNIQUE(_xlfn._xlws.FILTER(suivi['#support.traite_manuel],(suivi[[#This Row],['#support.nom]]&lt;&gt;"")*(suivi['#support.nom]=suivi[[#This Row],['#support.nom]])))),"-")</f>
        <v/>
      </c>
    </row>
    <row r="70" spans="1:37" x14ac:dyDescent="0.25">
      <c r="A70" s="1">
        <v>45366</v>
      </c>
      <c r="B70">
        <f>ROW(suivi[[#This Row],['#support.id]])-ROW(suivi[[#Headers],['#support.saison_en_cours]])</f>
        <v>67</v>
      </c>
      <c r="C70" s="7" t="str">
        <f>IF(suivi[[#This Row],['#support.saison]]=saison_en_cours,1,"")</f>
        <v/>
      </c>
      <c r="D70" t="s">
        <v>7</v>
      </c>
      <c r="G70" s="10">
        <v>1</v>
      </c>
      <c r="J70" s="26"/>
      <c r="K70" s="26"/>
      <c r="P7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0" s="7">
        <f>IF(suivi[[#This Row],['#support.nom]]="","",COUNTIF(suivi['#support.nom],suivi[[#This Row],['#support.nom]]))</f>
        <v>98</v>
      </c>
      <c r="T70" s="1"/>
      <c r="V70" s="4"/>
      <c r="AH70" t="str" cm="1">
        <f t="array" ref="AH70">_xlfn._xlws.FILTER(saisons[nom],(saisons[debut]&lt;=suivi[[#This Row],[date]])*(saisons[fin]&gt;=suivi[[#This Row],[date]]))</f>
        <v>2023-2024</v>
      </c>
      <c r="AI70">
        <f>MIN(COUNTIFS(suivi[entree.categorie],"Evènement",suivi[entree.nom],suivi[[#This Row],[entree.nom]]),1)</f>
        <v>0</v>
      </c>
      <c r="AK70" t="str" cm="1">
        <f t="array" ref="AK70">IFERROR(_xlfn.TEXTJOIN(",",TRUE,_xlfn.UNIQUE(_xlfn._xlws.FILTER(suivi['#support.traite_manuel],(suivi[[#This Row],['#support.nom]]&lt;&gt;"")*(suivi['#support.nom]=suivi[[#This Row],['#support.nom]])))),"-")</f>
        <v/>
      </c>
    </row>
    <row r="71" spans="1:37" x14ac:dyDescent="0.25">
      <c r="A71" s="1">
        <v>45373</v>
      </c>
      <c r="B71">
        <f>ROW(suivi[[#This Row],['#support.id]])-ROW(suivi[[#Headers],['#support.saison_en_cours]])</f>
        <v>68</v>
      </c>
      <c r="C71" s="7" t="str">
        <f>IF(suivi[[#This Row],['#support.saison]]=saison_en_cours,1,"")</f>
        <v/>
      </c>
      <c r="D71" t="s">
        <v>7</v>
      </c>
      <c r="G71" s="10">
        <v>1</v>
      </c>
      <c r="J71" s="26"/>
      <c r="K71" s="26"/>
      <c r="P7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1" s="7">
        <f>IF(suivi[[#This Row],['#support.nom]]="","",COUNTIF(suivi['#support.nom],suivi[[#This Row],['#support.nom]]))</f>
        <v>98</v>
      </c>
      <c r="T71" s="1"/>
      <c r="V71" s="4"/>
      <c r="AH71" t="str" cm="1">
        <f t="array" ref="AH71">_xlfn._xlws.FILTER(saisons[nom],(saisons[debut]&lt;=suivi[[#This Row],[date]])*(saisons[fin]&gt;=suivi[[#This Row],[date]]))</f>
        <v>2023-2024</v>
      </c>
      <c r="AI71">
        <f>MIN(COUNTIFS(suivi[entree.categorie],"Evènement",suivi[entree.nom],suivi[[#This Row],[entree.nom]]),1)</f>
        <v>0</v>
      </c>
      <c r="AK71" t="str" cm="1">
        <f t="array" ref="AK71">IFERROR(_xlfn.TEXTJOIN(",",TRUE,_xlfn.UNIQUE(_xlfn._xlws.FILTER(suivi['#support.traite_manuel],(suivi[[#This Row],['#support.nom]]&lt;&gt;"")*(suivi['#support.nom]=suivi[[#This Row],['#support.nom]])))),"-")</f>
        <v/>
      </c>
    </row>
    <row r="72" spans="1:37" x14ac:dyDescent="0.25">
      <c r="A72" s="1">
        <v>45380</v>
      </c>
      <c r="B72">
        <f>ROW(suivi[[#This Row],['#support.id]])-ROW(suivi[[#Headers],['#support.saison_en_cours]])</f>
        <v>69</v>
      </c>
      <c r="C72" s="7" t="str">
        <f>IF(suivi[[#This Row],['#support.saison]]=saison_en_cours,1,"")</f>
        <v/>
      </c>
      <c r="D72" t="s">
        <v>7</v>
      </c>
      <c r="G72" s="10">
        <v>1</v>
      </c>
      <c r="J72" s="26"/>
      <c r="K72" s="26"/>
      <c r="P7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2" s="7">
        <f>IF(suivi[[#This Row],['#support.nom]]="","",COUNTIF(suivi['#support.nom],suivi[[#This Row],['#support.nom]]))</f>
        <v>98</v>
      </c>
      <c r="T72" s="1"/>
      <c r="V72" s="4"/>
      <c r="AH72" t="str" cm="1">
        <f t="array" ref="AH72">_xlfn._xlws.FILTER(saisons[nom],(saisons[debut]&lt;=suivi[[#This Row],[date]])*(saisons[fin]&gt;=suivi[[#This Row],[date]]))</f>
        <v>2023-2024</v>
      </c>
      <c r="AI72">
        <f>MIN(COUNTIFS(suivi[entree.categorie],"Evènement",suivi[entree.nom],suivi[[#This Row],[entree.nom]]),1)</f>
        <v>0</v>
      </c>
      <c r="AK72" t="str" cm="1">
        <f t="array" ref="AK72">IFERROR(_xlfn.TEXTJOIN(",",TRUE,_xlfn.UNIQUE(_xlfn._xlws.FILTER(suivi['#support.traite_manuel],(suivi[[#This Row],['#support.nom]]&lt;&gt;"")*(suivi['#support.nom]=suivi[[#This Row],['#support.nom]])))),"-")</f>
        <v/>
      </c>
    </row>
    <row r="73" spans="1:37" x14ac:dyDescent="0.25">
      <c r="A73" s="1">
        <v>45380</v>
      </c>
      <c r="B73" s="28">
        <f>ROW(suivi[[#This Row],['#support.id]])-ROW(suivi[[#Headers],['#support.saison_en_cours]])</f>
        <v>70</v>
      </c>
      <c r="C73" s="31" t="str">
        <f>IF(suivi[[#This Row],['#support.saison]]=saison_en_cours,1,"")</f>
        <v/>
      </c>
      <c r="D73" t="s">
        <v>7</v>
      </c>
      <c r="G73" s="10"/>
      <c r="J73" s="38"/>
      <c r="K73" s="38"/>
      <c r="L73" t="s">
        <v>695</v>
      </c>
      <c r="P73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Présence_70</v>
      </c>
      <c r="Q73" s="31">
        <f>IF(suivi[[#This Row],['#support.nom]]="","",COUNTIF(suivi['#support.nom],suivi[[#This Row],['#support.nom]]))</f>
        <v>1</v>
      </c>
      <c r="T73" s="1"/>
      <c r="V73" s="4"/>
      <c r="AH73" s="28" t="str" cm="1">
        <f t="array" ref="AH73">_xlfn._xlws.FILTER(saisons[nom],(saisons[debut]&lt;=suivi[[#This Row],[date]])*(saisons[fin]&gt;=suivi[[#This Row],[date]]))</f>
        <v>2023-2024</v>
      </c>
      <c r="AI73" s="28">
        <f>MIN(COUNTIFS(suivi[entree.categorie],"Evènement",suivi[entree.nom],suivi[[#This Row],[entree.nom]]),1)</f>
        <v>0</v>
      </c>
      <c r="AK73" s="28" t="str" cm="1">
        <f t="array" ref="AK73">IFERROR(_xlfn.TEXTJOIN(",",TRUE,_xlfn.UNIQUE(_xlfn._xlws.FILTER(suivi['#support.traite_manuel],(suivi[[#This Row],['#support.nom]]&lt;&gt;"")*(suivi['#support.nom]=suivi[[#This Row],['#support.nom]])))),"-")</f>
        <v/>
      </c>
    </row>
    <row r="74" spans="1:37" x14ac:dyDescent="0.25">
      <c r="A74" s="1">
        <v>45387</v>
      </c>
      <c r="B74">
        <f>ROW(suivi[[#This Row],['#support.id]])-ROW(suivi[[#Headers],['#support.saison_en_cours]])</f>
        <v>71</v>
      </c>
      <c r="C74" s="7" t="str">
        <f>IF(suivi[[#This Row],['#support.saison]]=saison_en_cours,1,"")</f>
        <v/>
      </c>
      <c r="D74" t="s">
        <v>7</v>
      </c>
      <c r="G74" s="10">
        <v>1</v>
      </c>
      <c r="J74" s="26"/>
      <c r="K74" s="26"/>
      <c r="P7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4" s="7">
        <f>IF(suivi[[#This Row],['#support.nom]]="","",COUNTIF(suivi['#support.nom],suivi[[#This Row],['#support.nom]]))</f>
        <v>98</v>
      </c>
      <c r="T74" s="1"/>
      <c r="V74" s="4"/>
      <c r="AH74" t="str" cm="1">
        <f t="array" ref="AH74">_xlfn._xlws.FILTER(saisons[nom],(saisons[debut]&lt;=suivi[[#This Row],[date]])*(saisons[fin]&gt;=suivi[[#This Row],[date]]))</f>
        <v>2023-2024</v>
      </c>
      <c r="AI74">
        <f>MIN(COUNTIFS(suivi[entree.categorie],"Evènement",suivi[entree.nom],suivi[[#This Row],[entree.nom]]),1)</f>
        <v>0</v>
      </c>
      <c r="AK74" t="str" cm="1">
        <f t="array" ref="AK74">IFERROR(_xlfn.TEXTJOIN(",",TRUE,_xlfn.UNIQUE(_xlfn._xlws.FILTER(suivi['#support.traite_manuel],(suivi[[#This Row],['#support.nom]]&lt;&gt;"")*(suivi['#support.nom]=suivi[[#This Row],['#support.nom]])))),"-")</f>
        <v/>
      </c>
    </row>
    <row r="75" spans="1:37" x14ac:dyDescent="0.25">
      <c r="A75" s="1">
        <v>45394</v>
      </c>
      <c r="B75">
        <f>ROW(suivi[[#This Row],['#support.id]])-ROW(suivi[[#Headers],['#support.saison_en_cours]])</f>
        <v>72</v>
      </c>
      <c r="C75" s="7" t="str">
        <f>IF(suivi[[#This Row],['#support.saison]]=saison_en_cours,1,"")</f>
        <v/>
      </c>
      <c r="D75" t="s">
        <v>7</v>
      </c>
      <c r="G75" s="10">
        <v>1</v>
      </c>
      <c r="J75" s="26"/>
      <c r="K75" s="26"/>
      <c r="P7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5" s="7">
        <f>IF(suivi[[#This Row],['#support.nom]]="","",COUNTIF(suivi['#support.nom],suivi[[#This Row],['#support.nom]]))</f>
        <v>98</v>
      </c>
      <c r="T75" s="1"/>
      <c r="V75" s="4"/>
      <c r="AH75" t="str" cm="1">
        <f t="array" ref="AH75">_xlfn._xlws.FILTER(saisons[nom],(saisons[debut]&lt;=suivi[[#This Row],[date]])*(saisons[fin]&gt;=suivi[[#This Row],[date]]))</f>
        <v>2023-2024</v>
      </c>
      <c r="AI75">
        <f>MIN(COUNTIFS(suivi[entree.categorie],"Evènement",suivi[entree.nom],suivi[[#This Row],[entree.nom]]),1)</f>
        <v>0</v>
      </c>
      <c r="AK75" t="str" cm="1">
        <f t="array" ref="AK75">IFERROR(_xlfn.TEXTJOIN(",",TRUE,_xlfn.UNIQUE(_xlfn._xlws.FILTER(suivi['#support.traite_manuel],(suivi[[#This Row],['#support.nom]]&lt;&gt;"")*(suivi['#support.nom]=suivi[[#This Row],['#support.nom]])))),"-")</f>
        <v/>
      </c>
    </row>
    <row r="76" spans="1:37" x14ac:dyDescent="0.25">
      <c r="A76" s="1">
        <v>45436</v>
      </c>
      <c r="B76">
        <f>ROW(suivi[[#This Row],['#support.id]])-ROW(suivi[[#Headers],['#support.saison_en_cours]])</f>
        <v>73</v>
      </c>
      <c r="C76" s="7" t="str">
        <f>IF(suivi[[#This Row],['#support.saison]]=saison_en_cours,1,"")</f>
        <v/>
      </c>
      <c r="D76" t="s">
        <v>7</v>
      </c>
      <c r="G76" s="10">
        <v>1</v>
      </c>
      <c r="J76" s="26"/>
      <c r="K76" s="26"/>
      <c r="P7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6" s="7">
        <f>IF(suivi[[#This Row],['#support.nom]]="","",COUNTIF(suivi['#support.nom],suivi[[#This Row],['#support.nom]]))</f>
        <v>98</v>
      </c>
      <c r="T76" s="1"/>
      <c r="V76" s="4"/>
      <c r="AH76" t="str" cm="1">
        <f t="array" ref="AH76">_xlfn._xlws.FILTER(saisons[nom],(saisons[debut]&lt;=suivi[[#This Row],[date]])*(saisons[fin]&gt;=suivi[[#This Row],[date]]))</f>
        <v>2023-2024</v>
      </c>
      <c r="AI76">
        <f>MIN(COUNTIFS(suivi[entree.categorie],"Evènement",suivi[entree.nom],suivi[[#This Row],[entree.nom]]),1)</f>
        <v>0</v>
      </c>
      <c r="AK76" t="str" cm="1">
        <f t="array" ref="AK76">IFERROR(_xlfn.TEXTJOIN(",",TRUE,_xlfn.UNIQUE(_xlfn._xlws.FILTER(suivi['#support.traite_manuel],(suivi[[#This Row],['#support.nom]]&lt;&gt;"")*(suivi['#support.nom]=suivi[[#This Row],['#support.nom]])))),"-")</f>
        <v/>
      </c>
    </row>
    <row r="77" spans="1:37" x14ac:dyDescent="0.25">
      <c r="A77" s="1">
        <v>45443</v>
      </c>
      <c r="B77">
        <f>ROW(suivi[[#This Row],['#support.id]])-ROW(suivi[[#Headers],['#support.saison_en_cours]])</f>
        <v>74</v>
      </c>
      <c r="C77" s="7" t="str">
        <f>IF(suivi[[#This Row],['#support.saison]]=saison_en_cours,1,"")</f>
        <v/>
      </c>
      <c r="D77" t="s">
        <v>7</v>
      </c>
      <c r="G77" s="10">
        <v>1</v>
      </c>
      <c r="J77" s="26"/>
      <c r="K77" s="26"/>
      <c r="P7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7" s="7">
        <f>IF(suivi[[#This Row],['#support.nom]]="","",COUNTIF(suivi['#support.nom],suivi[[#This Row],['#support.nom]]))</f>
        <v>98</v>
      </c>
      <c r="T77" s="1"/>
      <c r="V77" s="4"/>
      <c r="AH77" t="str" cm="1">
        <f t="array" ref="AH77">_xlfn._xlws.FILTER(saisons[nom],(saisons[debut]&lt;=suivi[[#This Row],[date]])*(saisons[fin]&gt;=suivi[[#This Row],[date]]))</f>
        <v>2023-2024</v>
      </c>
      <c r="AI77">
        <f>MIN(COUNTIFS(suivi[entree.categorie],"Evènement",suivi[entree.nom],suivi[[#This Row],[entree.nom]]),1)</f>
        <v>0</v>
      </c>
      <c r="AK77" t="str" cm="1">
        <f t="array" ref="AK77">IFERROR(_xlfn.TEXTJOIN(",",TRUE,_xlfn.UNIQUE(_xlfn._xlws.FILTER(suivi['#support.traite_manuel],(suivi[[#This Row],['#support.nom]]&lt;&gt;"")*(suivi['#support.nom]=suivi[[#This Row],['#support.nom]])))),"-")</f>
        <v/>
      </c>
    </row>
    <row r="78" spans="1:37" x14ac:dyDescent="0.25">
      <c r="A78" s="1">
        <v>45450</v>
      </c>
      <c r="B78">
        <f>ROW(suivi[[#This Row],['#support.id]])-ROW(suivi[[#Headers],['#support.saison_en_cours]])</f>
        <v>75</v>
      </c>
      <c r="C78" s="7" t="str">
        <f>IF(suivi[[#This Row],['#support.saison]]=saison_en_cours,1,"")</f>
        <v/>
      </c>
      <c r="D78" t="s">
        <v>7</v>
      </c>
      <c r="G78" s="10">
        <v>1</v>
      </c>
      <c r="J78" s="26"/>
      <c r="K78" s="26"/>
      <c r="P7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8" s="7">
        <f>IF(suivi[[#This Row],['#support.nom]]="","",COUNTIF(suivi['#support.nom],suivi[[#This Row],['#support.nom]]))</f>
        <v>98</v>
      </c>
      <c r="T78" s="1"/>
      <c r="V78" s="4"/>
      <c r="AH78" t="str" cm="1">
        <f t="array" ref="AH78">_xlfn._xlws.FILTER(saisons[nom],(saisons[debut]&lt;=suivi[[#This Row],[date]])*(saisons[fin]&gt;=suivi[[#This Row],[date]]))</f>
        <v>2023-2024</v>
      </c>
      <c r="AI78">
        <f>MIN(COUNTIFS(suivi[entree.categorie],"Evènement",suivi[entree.nom],suivi[[#This Row],[entree.nom]]),1)</f>
        <v>0</v>
      </c>
      <c r="AK78" t="str" cm="1">
        <f t="array" ref="AK78">IFERROR(_xlfn.TEXTJOIN(",",TRUE,_xlfn.UNIQUE(_xlfn._xlws.FILTER(suivi['#support.traite_manuel],(suivi[[#This Row],['#support.nom]]&lt;&gt;"")*(suivi['#support.nom]=suivi[[#This Row],['#support.nom]])))),"-")</f>
        <v/>
      </c>
    </row>
    <row r="79" spans="1:37" x14ac:dyDescent="0.25">
      <c r="A79" s="1">
        <v>45472</v>
      </c>
      <c r="B79" s="28">
        <f>ROW(suivi[[#This Row],['#support.id]])-ROW(suivi[[#Headers],['#support.saison_en_cours]])</f>
        <v>76</v>
      </c>
      <c r="C79" s="31" t="str">
        <f>IF(suivi[[#This Row],['#support.saison]]=saison_en_cours,1,"")</f>
        <v/>
      </c>
      <c r="D79" t="s">
        <v>0</v>
      </c>
      <c r="E79" t="s">
        <v>700</v>
      </c>
      <c r="F79" t="s">
        <v>701</v>
      </c>
      <c r="G79" s="10"/>
      <c r="I79" t="s">
        <v>261</v>
      </c>
      <c r="J79" s="38"/>
      <c r="K79" s="38">
        <v>-49.43</v>
      </c>
      <c r="P79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Evènement_Assemblée Générale 2024_Remboursement Fabien boissons_76</v>
      </c>
      <c r="Q79" s="31">
        <f>IF(suivi[[#This Row],['#support.nom]]="","",COUNTIF(suivi['#support.nom],suivi[[#This Row],['#support.nom]]))</f>
        <v>1</v>
      </c>
      <c r="T79" s="1"/>
      <c r="V79" s="4"/>
      <c r="AH79" s="28" t="str" cm="1">
        <f t="array" ref="AH79">_xlfn._xlws.FILTER(saisons[nom],(saisons[debut]&lt;=suivi[[#This Row],[date]])*(saisons[fin]&gt;=suivi[[#This Row],[date]]))</f>
        <v>2023-2024</v>
      </c>
      <c r="AI79" s="28">
        <f>MIN(COUNTIFS(suivi[entree.categorie],"Evènement",suivi[entree.nom],suivi[[#This Row],[entree.nom]]),1)</f>
        <v>1</v>
      </c>
      <c r="AK79" s="28" t="str" cm="1">
        <f t="array" ref="AK79">IFERROR(_xlfn.TEXTJOIN(",",TRUE,_xlfn.UNIQUE(_xlfn._xlws.FILTER(suivi['#support.traite_manuel],(suivi[[#This Row],['#support.nom]]&lt;&gt;"")*(suivi['#support.nom]=suivi[[#This Row],['#support.nom]])))),"-")</f>
        <v/>
      </c>
    </row>
    <row r="80" spans="1:37" x14ac:dyDescent="0.25">
      <c r="A80" s="1">
        <v>45536</v>
      </c>
      <c r="B80">
        <f>ROW(suivi[[#This Row],['#support.id]])-ROW(suivi[[#Headers],['#support.saison_en_cours]])</f>
        <v>77</v>
      </c>
      <c r="C80" s="7" t="str">
        <f>IF(suivi[[#This Row],['#support.saison]]=saison_en_cours,1,"")</f>
        <v/>
      </c>
      <c r="D80" t="s">
        <v>441</v>
      </c>
      <c r="G80" s="10">
        <v>1</v>
      </c>
      <c r="H80" t="s">
        <v>214</v>
      </c>
      <c r="J80" s="26"/>
      <c r="K80" s="26"/>
      <c r="O80" t="s">
        <v>691</v>
      </c>
      <c r="P8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0" s="7">
        <f>IF(suivi[[#This Row],['#support.nom]]="","",COUNTIF(suivi['#support.nom],suivi[[#This Row],['#support.nom]]))</f>
        <v>98</v>
      </c>
      <c r="T80" s="1"/>
      <c r="V80" s="4"/>
      <c r="AH80" t="str" cm="1">
        <f t="array" ref="AH80">_xlfn._xlws.FILTER(saisons[nom],(saisons[debut]&lt;=suivi[[#This Row],[date]])*(saisons[fin]&gt;=suivi[[#This Row],[date]]))</f>
        <v>2024-2025</v>
      </c>
      <c r="AI80">
        <f>MIN(COUNTIFS(suivi[entree.categorie],"Evènement",suivi[entree.nom],suivi[[#This Row],[entree.nom]]),1)</f>
        <v>0</v>
      </c>
      <c r="AK80" t="str" cm="1">
        <f t="array" ref="AK80">IFERROR(_xlfn.TEXTJOIN(",",TRUE,_xlfn.UNIQUE(_xlfn._xlws.FILTER(suivi['#support.traite_manuel],(suivi[[#This Row],['#support.nom]]&lt;&gt;"")*(suivi['#support.nom]=suivi[[#This Row],['#support.nom]])))),"-")</f>
        <v/>
      </c>
    </row>
    <row r="81" spans="1:37" x14ac:dyDescent="0.25">
      <c r="A81" s="1">
        <v>45536</v>
      </c>
      <c r="B81" s="28">
        <f>ROW(suivi[[#This Row],['#support.id]])-ROW(suivi[[#Headers],['#support.saison_en_cours]])</f>
        <v>78</v>
      </c>
      <c r="C81" s="31" t="str">
        <f>IF(suivi[[#This Row],['#support.saison]]=saison_en_cours,1,"")</f>
        <v/>
      </c>
      <c r="D81" t="s">
        <v>0</v>
      </c>
      <c r="E81" t="s">
        <v>702</v>
      </c>
      <c r="G81" s="10"/>
      <c r="J81" s="38"/>
      <c r="K81" s="38"/>
      <c r="P81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2024_78</v>
      </c>
      <c r="Q81" s="31">
        <f>IF(suivi[[#This Row],['#support.nom]]="","",COUNTIF(suivi['#support.nom],suivi[[#This Row],['#support.nom]]))</f>
        <v>1</v>
      </c>
      <c r="T81" s="1"/>
      <c r="V81" s="4"/>
      <c r="AH81" s="28" t="str" cm="1">
        <f t="array" ref="AH81">_xlfn._xlws.FILTER(saisons[nom],(saisons[debut]&lt;=suivi[[#This Row],[date]])*(saisons[fin]&gt;=suivi[[#This Row],[date]]))</f>
        <v>2024-2025</v>
      </c>
      <c r="AI81" s="28">
        <f>MIN(COUNTIFS(suivi[entree.categorie],"Evènement",suivi[entree.nom],suivi[[#This Row],[entree.nom]]),1)</f>
        <v>1</v>
      </c>
      <c r="AK81" s="28" t="str" cm="1">
        <f t="array" ref="AK81">IFERROR(_xlfn.TEXTJOIN(",",TRUE,_xlfn.UNIQUE(_xlfn._xlws.FILTER(suivi['#support.traite_manuel],(suivi[[#This Row],['#support.nom]]&lt;&gt;"")*(suivi['#support.nom]=suivi[[#This Row],['#support.nom]])))),"-")</f>
        <v/>
      </c>
    </row>
    <row r="82" spans="1:37" x14ac:dyDescent="0.25">
      <c r="A82" s="1">
        <v>45541</v>
      </c>
      <c r="B82">
        <f>ROW(suivi[[#This Row],['#support.id]])-ROW(suivi[[#Headers],['#support.saison_en_cours]])</f>
        <v>79</v>
      </c>
      <c r="C82" s="7" t="str">
        <f>IF(suivi[[#This Row],['#support.saison]]=saison_en_cours,1,"")</f>
        <v/>
      </c>
      <c r="D82" t="s">
        <v>6</v>
      </c>
      <c r="E82" t="s">
        <v>263</v>
      </c>
      <c r="G82" s="10">
        <v>1</v>
      </c>
      <c r="I82" t="s">
        <v>5</v>
      </c>
      <c r="J82" s="26">
        <v>15</v>
      </c>
      <c r="K82" s="26"/>
      <c r="M82" t="s">
        <v>613</v>
      </c>
      <c r="N82" t="s">
        <v>692</v>
      </c>
      <c r="P8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2" s="7">
        <f>IF(suivi[[#This Row],['#support.nom]]="","",COUNTIF(suivi['#support.nom],suivi[[#This Row],['#support.nom]]))</f>
        <v>98</v>
      </c>
      <c r="T82" s="1"/>
      <c r="V82" s="4"/>
      <c r="AH82" t="str" cm="1">
        <f t="array" ref="AH82">_xlfn._xlws.FILTER(saisons[nom],(saisons[debut]&lt;=suivi[[#This Row],[date]])*(saisons[fin]&gt;=suivi[[#This Row],[date]]))</f>
        <v>2024-2025</v>
      </c>
      <c r="AI82">
        <f>MIN(COUNTIFS(suivi[entree.categorie],"Evènement",suivi[entree.nom],suivi[[#This Row],[entree.nom]]),1)</f>
        <v>0</v>
      </c>
      <c r="AK82" t="str" cm="1">
        <f t="array" ref="AK82">IFERROR(_xlfn.TEXTJOIN(",",TRUE,_xlfn.UNIQUE(_xlfn._xlws.FILTER(suivi['#support.traite_manuel],(suivi[[#This Row],['#support.nom]]&lt;&gt;"")*(suivi['#support.nom]=suivi[[#This Row],['#support.nom]])))),"-")</f>
        <v/>
      </c>
    </row>
    <row r="83" spans="1:37" x14ac:dyDescent="0.25">
      <c r="A83" s="1">
        <v>45541</v>
      </c>
      <c r="B83">
        <f>ROW(suivi[[#This Row],['#support.id]])-ROW(suivi[[#Headers],['#support.saison_en_cours]])</f>
        <v>80</v>
      </c>
      <c r="C83" s="7" t="str">
        <f>IF(suivi[[#This Row],['#support.saison]]=saison_en_cours,1,"")</f>
        <v/>
      </c>
      <c r="D83" t="s">
        <v>7</v>
      </c>
      <c r="G83" s="10">
        <v>1</v>
      </c>
      <c r="J83" s="26"/>
      <c r="K83" s="26"/>
      <c r="P8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3" s="7">
        <f>IF(suivi[[#This Row],['#support.nom]]="","",COUNTIF(suivi['#support.nom],suivi[[#This Row],['#support.nom]]))</f>
        <v>98</v>
      </c>
      <c r="T83" s="1"/>
      <c r="V83" s="4"/>
      <c r="AH83" t="str" cm="1">
        <f t="array" ref="AH83">_xlfn._xlws.FILTER(saisons[nom],(saisons[debut]&lt;=suivi[[#This Row],[date]])*(saisons[fin]&gt;=suivi[[#This Row],[date]]))</f>
        <v>2024-2025</v>
      </c>
      <c r="AI83">
        <f>MIN(COUNTIFS(suivi[entree.categorie],"Evènement",suivi[entree.nom],suivi[[#This Row],[entree.nom]]),1)</f>
        <v>0</v>
      </c>
      <c r="AK83" t="str" cm="1">
        <f t="array" ref="AK83">IFERROR(_xlfn.TEXTJOIN(",",TRUE,_xlfn.UNIQUE(_xlfn._xlws.FILTER(suivi['#support.traite_manuel],(suivi[[#This Row],['#support.nom]]&lt;&gt;"")*(suivi['#support.nom]=suivi[[#This Row],['#support.nom]])))),"-")</f>
        <v/>
      </c>
    </row>
    <row r="84" spans="1:37" x14ac:dyDescent="0.25">
      <c r="A84" s="1">
        <v>45548</v>
      </c>
      <c r="B84">
        <f>ROW(suivi[[#This Row],['#support.id]])-ROW(suivi[[#Headers],['#support.saison_en_cours]])</f>
        <v>81</v>
      </c>
      <c r="C84" s="7" t="str">
        <f>IF(suivi[[#This Row],['#support.saison]]=saison_en_cours,1,"")</f>
        <v/>
      </c>
      <c r="D84" t="s">
        <v>7</v>
      </c>
      <c r="G84" s="10">
        <v>1</v>
      </c>
      <c r="J84" s="25"/>
      <c r="K84" s="25"/>
      <c r="P8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4" s="7">
        <f>IF(suivi[[#This Row],['#support.nom]]="","",COUNTIF(suivi['#support.nom],suivi[[#This Row],['#support.nom]]))</f>
        <v>98</v>
      </c>
      <c r="T84" s="1"/>
      <c r="V84" s="4"/>
      <c r="AH84" t="str" cm="1">
        <f t="array" ref="AH84">_xlfn._xlws.FILTER(saisons[nom],(saisons[debut]&lt;=suivi[[#This Row],[date]])*(saisons[fin]&gt;=suivi[[#This Row],[date]]))</f>
        <v>2024-2025</v>
      </c>
      <c r="AI84">
        <f>MIN(COUNTIFS(suivi[entree.categorie],"Evènement",suivi[entree.nom],suivi[[#This Row],[entree.nom]]),1)</f>
        <v>0</v>
      </c>
      <c r="AK84" t="str" cm="1">
        <f t="array" ref="AK84">IFERROR(_xlfn.TEXTJOIN(",",TRUE,_xlfn.UNIQUE(_xlfn._xlws.FILTER(suivi['#support.traite_manuel],(suivi[[#This Row],['#support.nom]]&lt;&gt;"")*(suivi['#support.nom]=suivi[[#This Row],['#support.nom]])))),"-")</f>
        <v/>
      </c>
    </row>
    <row r="85" spans="1:37" x14ac:dyDescent="0.25">
      <c r="A85" s="1">
        <v>45555</v>
      </c>
      <c r="B85">
        <f>ROW(suivi[[#This Row],['#support.id]])-ROW(suivi[[#Headers],['#support.saison_en_cours]])</f>
        <v>82</v>
      </c>
      <c r="C85" s="7" t="str">
        <f>IF(suivi[[#This Row],['#support.saison]]=saison_en_cours,1,"")</f>
        <v/>
      </c>
      <c r="D85" t="s">
        <v>7</v>
      </c>
      <c r="G85" s="10">
        <v>1</v>
      </c>
      <c r="J85" s="25"/>
      <c r="K85" s="25"/>
      <c r="P8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5" s="7">
        <f>IF(suivi[[#This Row],['#support.nom]]="","",COUNTIF(suivi['#support.nom],suivi[[#This Row],['#support.nom]]))</f>
        <v>98</v>
      </c>
      <c r="T85" s="1"/>
      <c r="V85" s="4"/>
      <c r="AH85" t="str" cm="1">
        <f t="array" ref="AH85">_xlfn._xlws.FILTER(saisons[nom],(saisons[debut]&lt;=suivi[[#This Row],[date]])*(saisons[fin]&gt;=suivi[[#This Row],[date]]))</f>
        <v>2024-2025</v>
      </c>
      <c r="AI85">
        <f>MIN(COUNTIFS(suivi[entree.categorie],"Evènement",suivi[entree.nom],suivi[[#This Row],[entree.nom]]),1)</f>
        <v>0</v>
      </c>
      <c r="AK85" t="str" cm="1">
        <f t="array" ref="AK85">IFERROR(_xlfn.TEXTJOIN(",",TRUE,_xlfn.UNIQUE(_xlfn._xlws.FILTER(suivi['#support.traite_manuel],(suivi[[#This Row],['#support.nom]]&lt;&gt;"")*(suivi['#support.nom]=suivi[[#This Row],['#support.nom]])))),"-")</f>
        <v/>
      </c>
    </row>
    <row r="86" spans="1:37" x14ac:dyDescent="0.25">
      <c r="A86" s="1">
        <v>45555</v>
      </c>
      <c r="B86">
        <f>ROW(suivi[[#This Row],['#support.id]])-ROW(suivi[[#Headers],['#support.saison_en_cours]])</f>
        <v>83</v>
      </c>
      <c r="C86" s="7" t="str">
        <f>IF(suivi[[#This Row],['#support.saison]]=saison_en_cours,1,"")</f>
        <v/>
      </c>
      <c r="D86" t="s">
        <v>7</v>
      </c>
      <c r="G86" s="10">
        <v>2</v>
      </c>
      <c r="J86" s="25"/>
      <c r="K86" s="25"/>
      <c r="P8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86" s="7">
        <f>IF(suivi[[#This Row],['#support.nom]]="","",COUNTIF(suivi['#support.nom],suivi[[#This Row],['#support.nom]]))</f>
        <v>30</v>
      </c>
      <c r="T86" s="1"/>
      <c r="V86" s="4"/>
      <c r="AH86" t="str" cm="1">
        <f t="array" ref="AH86">_xlfn._xlws.FILTER(saisons[nom],(saisons[debut]&lt;=suivi[[#This Row],[date]])*(saisons[fin]&gt;=suivi[[#This Row],[date]]))</f>
        <v>2024-2025</v>
      </c>
      <c r="AI86">
        <f>MIN(COUNTIFS(suivi[entree.categorie],"Evènement",suivi[entree.nom],suivi[[#This Row],[entree.nom]]),1)</f>
        <v>0</v>
      </c>
      <c r="AK86" t="str" cm="1">
        <f t="array" ref="AK86">IFERROR(_xlfn.TEXTJOIN(",",TRUE,_xlfn.UNIQUE(_xlfn._xlws.FILTER(suivi['#support.traite_manuel],(suivi[[#This Row],['#support.nom]]&lt;&gt;"")*(suivi['#support.nom]=suivi[[#This Row],['#support.nom]])))),"-")</f>
        <v/>
      </c>
    </row>
    <row r="87" spans="1:37" x14ac:dyDescent="0.25">
      <c r="A87" s="1">
        <v>45562</v>
      </c>
      <c r="B87">
        <f>ROW(suivi[[#This Row],['#support.id]])-ROW(suivi[[#Headers],['#support.saison_en_cours]])</f>
        <v>84</v>
      </c>
      <c r="C87" s="7" t="str">
        <f>IF(suivi[[#This Row],['#support.saison]]=saison_en_cours,1,"")</f>
        <v/>
      </c>
      <c r="D87" t="s">
        <v>7</v>
      </c>
      <c r="G87" s="10">
        <v>1</v>
      </c>
      <c r="J87" s="25"/>
      <c r="K87" s="25"/>
      <c r="P8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7" s="7">
        <f>IF(suivi[[#This Row],['#support.nom]]="","",COUNTIF(suivi['#support.nom],suivi[[#This Row],['#support.nom]]))</f>
        <v>98</v>
      </c>
      <c r="T87" s="1"/>
      <c r="V87" s="4"/>
      <c r="AH87" t="str" cm="1">
        <f t="array" ref="AH87">_xlfn._xlws.FILTER(saisons[nom],(saisons[debut]&lt;=suivi[[#This Row],[date]])*(saisons[fin]&gt;=suivi[[#This Row],[date]]))</f>
        <v>2024-2025</v>
      </c>
      <c r="AI87">
        <f>MIN(COUNTIFS(suivi[entree.categorie],"Evènement",suivi[entree.nom],suivi[[#This Row],[entree.nom]]),1)</f>
        <v>0</v>
      </c>
      <c r="AK87" t="str" cm="1">
        <f t="array" ref="AK87">IFERROR(_xlfn.TEXTJOIN(",",TRUE,_xlfn.UNIQUE(_xlfn._xlws.FILTER(suivi['#support.traite_manuel],(suivi[[#This Row],['#support.nom]]&lt;&gt;"")*(suivi['#support.nom]=suivi[[#This Row],['#support.nom]])))),"-")</f>
        <v/>
      </c>
    </row>
    <row r="88" spans="1:37" x14ac:dyDescent="0.25">
      <c r="A88" s="1">
        <v>45569</v>
      </c>
      <c r="B88">
        <f>ROW(suivi[[#This Row],['#support.id]])-ROW(suivi[[#Headers],['#support.saison_en_cours]])</f>
        <v>85</v>
      </c>
      <c r="C88" s="7" t="str">
        <f>IF(suivi[[#This Row],['#support.saison]]=saison_en_cours,1,"")</f>
        <v/>
      </c>
      <c r="D88" t="s">
        <v>7</v>
      </c>
      <c r="G88" s="10">
        <v>1</v>
      </c>
      <c r="J88" s="25"/>
      <c r="K88" s="25"/>
      <c r="P8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8" s="7">
        <f>IF(suivi[[#This Row],['#support.nom]]="","",COUNTIF(suivi['#support.nom],suivi[[#This Row],['#support.nom]]))</f>
        <v>98</v>
      </c>
      <c r="T88" s="1"/>
      <c r="V88" s="4"/>
      <c r="AH88" t="str" cm="1">
        <f t="array" ref="AH88">_xlfn._xlws.FILTER(saisons[nom],(saisons[debut]&lt;=suivi[[#This Row],[date]])*(saisons[fin]&gt;=suivi[[#This Row],[date]]))</f>
        <v>2024-2025</v>
      </c>
      <c r="AI88">
        <f>MIN(COUNTIFS(suivi[entree.categorie],"Evènement",suivi[entree.nom],suivi[[#This Row],[entree.nom]]),1)</f>
        <v>0</v>
      </c>
      <c r="AK88" t="str" cm="1">
        <f t="array" ref="AK88">IFERROR(_xlfn.TEXTJOIN(",",TRUE,_xlfn.UNIQUE(_xlfn._xlws.FILTER(suivi['#support.traite_manuel],(suivi[[#This Row],['#support.nom]]&lt;&gt;"")*(suivi['#support.nom]=suivi[[#This Row],['#support.nom]])))),"-")</f>
        <v/>
      </c>
    </row>
    <row r="89" spans="1:37" x14ac:dyDescent="0.25">
      <c r="A89" s="1">
        <v>45569</v>
      </c>
      <c r="B89">
        <f>ROW(suivi[[#This Row],['#support.id]])-ROW(suivi[[#Headers],['#support.saison_en_cours]])</f>
        <v>86</v>
      </c>
      <c r="C89" s="7" t="str">
        <f>IF(suivi[[#This Row],['#support.saison]]=saison_en_cours,1,"")</f>
        <v/>
      </c>
      <c r="D89" t="s">
        <v>7</v>
      </c>
      <c r="G89" s="10">
        <v>2</v>
      </c>
      <c r="J89" s="25"/>
      <c r="K89" s="25"/>
      <c r="P8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89" s="7">
        <f>IF(suivi[[#This Row],['#support.nom]]="","",COUNTIF(suivi['#support.nom],suivi[[#This Row],['#support.nom]]))</f>
        <v>30</v>
      </c>
      <c r="T89" s="1"/>
      <c r="V89" s="4"/>
      <c r="AH89" t="str" cm="1">
        <f t="array" ref="AH89">_xlfn._xlws.FILTER(saisons[nom],(saisons[debut]&lt;=suivi[[#This Row],[date]])*(saisons[fin]&gt;=suivi[[#This Row],[date]]))</f>
        <v>2024-2025</v>
      </c>
      <c r="AI89">
        <f>MIN(COUNTIFS(suivi[entree.categorie],"Evènement",suivi[entree.nom],suivi[[#This Row],[entree.nom]]),1)</f>
        <v>0</v>
      </c>
      <c r="AK89" t="str" cm="1">
        <f t="array" ref="AK89">IFERROR(_xlfn.TEXTJOIN(",",TRUE,_xlfn.UNIQUE(_xlfn._xlws.FILTER(suivi['#support.traite_manuel],(suivi[[#This Row],['#support.nom]]&lt;&gt;"")*(suivi['#support.nom]=suivi[[#This Row],['#support.nom]])))),"-")</f>
        <v/>
      </c>
    </row>
    <row r="90" spans="1:37" x14ac:dyDescent="0.25">
      <c r="A90" s="1">
        <v>45574</v>
      </c>
      <c r="B90" s="28">
        <f>ROW(suivi[[#This Row],['#support.id]])-ROW(suivi[[#Headers],['#support.saison_en_cours]])</f>
        <v>87</v>
      </c>
      <c r="C90" s="31" t="str">
        <f>IF(suivi[[#This Row],['#support.saison]]=saison_en_cours,1,"")</f>
        <v/>
      </c>
      <c r="D90" t="s">
        <v>0</v>
      </c>
      <c r="E90" t="s">
        <v>702</v>
      </c>
      <c r="F90" t="s">
        <v>703</v>
      </c>
      <c r="G90" s="10"/>
      <c r="I90" t="s">
        <v>261</v>
      </c>
      <c r="J90" s="38"/>
      <c r="K90" s="38">
        <v>-15</v>
      </c>
      <c r="N90" t="s">
        <v>704</v>
      </c>
      <c r="P90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2024_Emission Chèque 7036107 - Trésor Public - 03/09/2024_87</v>
      </c>
      <c r="Q90" s="31">
        <f>IF(suivi[[#This Row],['#support.nom]]="","",COUNTIF(suivi['#support.nom],suivi[[#This Row],['#support.nom]]))</f>
        <v>1</v>
      </c>
      <c r="T90" s="1"/>
      <c r="V90" s="4"/>
      <c r="AH90" s="28" t="str" cm="1">
        <f t="array" ref="AH90">_xlfn._xlws.FILTER(saisons[nom],(saisons[debut]&lt;=suivi[[#This Row],[date]])*(saisons[fin]&gt;=suivi[[#This Row],[date]]))</f>
        <v>2024-2025</v>
      </c>
      <c r="AI90" s="28">
        <f>MIN(COUNTIFS(suivi[entree.categorie],"Evènement",suivi[entree.nom],suivi[[#This Row],[entree.nom]]),1)</f>
        <v>1</v>
      </c>
      <c r="AK90" s="28" t="str" cm="1">
        <f t="array" ref="AK90">IFERROR(_xlfn.TEXTJOIN(",",TRUE,_xlfn.UNIQUE(_xlfn._xlws.FILTER(suivi['#support.traite_manuel],(suivi[[#This Row],['#support.nom]]&lt;&gt;"")*(suivi['#support.nom]=suivi[[#This Row],['#support.nom]])))),"-")</f>
        <v/>
      </c>
    </row>
    <row r="91" spans="1:37" x14ac:dyDescent="0.25">
      <c r="A91" s="1">
        <v>45576</v>
      </c>
      <c r="B91">
        <f>ROW(suivi[[#This Row],['#support.id]])-ROW(suivi[[#Headers],['#support.saison_en_cours]])</f>
        <v>88</v>
      </c>
      <c r="C91" s="7" t="str">
        <f>IF(suivi[[#This Row],['#support.saison]]=saison_en_cours,1,"")</f>
        <v/>
      </c>
      <c r="D91" t="s">
        <v>7</v>
      </c>
      <c r="G91" s="10">
        <v>1</v>
      </c>
      <c r="J91" s="25"/>
      <c r="K91" s="25"/>
      <c r="P9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1" s="7">
        <f>IF(suivi[[#This Row],['#support.nom]]="","",COUNTIF(suivi['#support.nom],suivi[[#This Row],['#support.nom]]))</f>
        <v>98</v>
      </c>
      <c r="T91" s="1"/>
      <c r="V91" s="4"/>
      <c r="AH91" t="str" cm="1">
        <f t="array" ref="AH91">_xlfn._xlws.FILTER(saisons[nom],(saisons[debut]&lt;=suivi[[#This Row],[date]])*(saisons[fin]&gt;=suivi[[#This Row],[date]]))</f>
        <v>2024-2025</v>
      </c>
      <c r="AI91">
        <f>MIN(COUNTIFS(suivi[entree.categorie],"Evènement",suivi[entree.nom],suivi[[#This Row],[entree.nom]]),1)</f>
        <v>0</v>
      </c>
      <c r="AK91" t="str" cm="1">
        <f t="array" ref="AK91">IFERROR(_xlfn.TEXTJOIN(",",TRUE,_xlfn.UNIQUE(_xlfn._xlws.FILTER(suivi['#support.traite_manuel],(suivi[[#This Row],['#support.nom]]&lt;&gt;"")*(suivi['#support.nom]=suivi[[#This Row],['#support.nom]])))),"-")</f>
        <v/>
      </c>
    </row>
    <row r="92" spans="1:37" x14ac:dyDescent="0.25">
      <c r="A92" s="1">
        <v>45583</v>
      </c>
      <c r="B92">
        <f>ROW(suivi[[#This Row],['#support.id]])-ROW(suivi[[#Headers],['#support.saison_en_cours]])</f>
        <v>89</v>
      </c>
      <c r="C92" s="7" t="str">
        <f>IF(suivi[[#This Row],['#support.saison]]=saison_en_cours,1,"")</f>
        <v/>
      </c>
      <c r="D92" t="s">
        <v>7</v>
      </c>
      <c r="G92" s="10">
        <v>1</v>
      </c>
      <c r="J92" s="25"/>
      <c r="K92" s="25"/>
      <c r="P9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2" s="7">
        <f>IF(suivi[[#This Row],['#support.nom]]="","",COUNTIF(suivi['#support.nom],suivi[[#This Row],['#support.nom]]))</f>
        <v>98</v>
      </c>
      <c r="T92" s="1"/>
      <c r="V92" s="4"/>
      <c r="AH92" t="str" cm="1">
        <f t="array" ref="AH92">_xlfn._xlws.FILTER(saisons[nom],(saisons[debut]&lt;=suivi[[#This Row],[date]])*(saisons[fin]&gt;=suivi[[#This Row],[date]]))</f>
        <v>2024-2025</v>
      </c>
      <c r="AI92">
        <f>MIN(COUNTIFS(suivi[entree.categorie],"Evènement",suivi[entree.nom],suivi[[#This Row],[entree.nom]]),1)</f>
        <v>0</v>
      </c>
      <c r="AK92" t="str" cm="1">
        <f t="array" ref="AK92">IFERROR(_xlfn.TEXTJOIN(",",TRUE,_xlfn.UNIQUE(_xlfn._xlws.FILTER(suivi['#support.traite_manuel],(suivi[[#This Row],['#support.nom]]&lt;&gt;"")*(suivi['#support.nom]=suivi[[#This Row],['#support.nom]])))),"-")</f>
        <v/>
      </c>
    </row>
    <row r="93" spans="1:37" x14ac:dyDescent="0.25">
      <c r="A93" s="1">
        <v>45597</v>
      </c>
      <c r="B93">
        <f>ROW(suivi[[#This Row],['#support.id]])-ROW(suivi[[#Headers],['#support.saison_en_cours]])</f>
        <v>90</v>
      </c>
      <c r="C93" s="7" t="str">
        <f>IF(suivi[[#This Row],['#support.saison]]=saison_en_cours,1,"")</f>
        <v/>
      </c>
      <c r="D93" t="s">
        <v>7</v>
      </c>
      <c r="G93" s="10">
        <v>1</v>
      </c>
      <c r="J93" s="25"/>
      <c r="K93" s="25"/>
      <c r="P9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3" s="7">
        <f>IF(suivi[[#This Row],['#support.nom]]="","",COUNTIF(suivi['#support.nom],suivi[[#This Row],['#support.nom]]))</f>
        <v>98</v>
      </c>
      <c r="T93" s="1"/>
      <c r="V93" s="4"/>
      <c r="AH93" t="str" cm="1">
        <f t="array" ref="AH93">_xlfn._xlws.FILTER(saisons[nom],(saisons[debut]&lt;=suivi[[#This Row],[date]])*(saisons[fin]&gt;=suivi[[#This Row],[date]]))</f>
        <v>2024-2025</v>
      </c>
      <c r="AI93">
        <f>MIN(COUNTIFS(suivi[entree.categorie],"Evènement",suivi[entree.nom],suivi[[#This Row],[entree.nom]]),1)</f>
        <v>0</v>
      </c>
      <c r="AK93" t="str" cm="1">
        <f t="array" ref="AK93">IFERROR(_xlfn.TEXTJOIN(",",TRUE,_xlfn.UNIQUE(_xlfn._xlws.FILTER(suivi['#support.traite_manuel],(suivi[[#This Row],['#support.nom]]&lt;&gt;"")*(suivi['#support.nom]=suivi[[#This Row],['#support.nom]])))),"-")</f>
        <v/>
      </c>
    </row>
    <row r="94" spans="1:37" x14ac:dyDescent="0.25">
      <c r="A94" s="1">
        <v>45597</v>
      </c>
      <c r="B94">
        <f>ROW(suivi[[#This Row],['#support.id]])-ROW(suivi[[#Headers],['#support.saison_en_cours]])</f>
        <v>91</v>
      </c>
      <c r="C94" s="7" t="str">
        <f>IF(suivi[[#This Row],['#support.saison]]=saison_en_cours,1,"")</f>
        <v/>
      </c>
      <c r="D94" t="s">
        <v>6</v>
      </c>
      <c r="E94" t="s">
        <v>263</v>
      </c>
      <c r="G94" s="10">
        <v>2</v>
      </c>
      <c r="I94" t="s">
        <v>5</v>
      </c>
      <c r="J94" s="25">
        <v>15</v>
      </c>
      <c r="K94" s="25"/>
      <c r="M94" t="s">
        <v>613</v>
      </c>
      <c r="N94" t="s">
        <v>688</v>
      </c>
      <c r="P9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94" s="7">
        <f>IF(suivi[[#This Row],['#support.nom]]="","",COUNTIF(suivi['#support.nom],suivi[[#This Row],['#support.nom]]))</f>
        <v>30</v>
      </c>
      <c r="R94" t="s">
        <v>694</v>
      </c>
      <c r="S94" t="s">
        <v>20</v>
      </c>
      <c r="T94" s="1">
        <v>29435</v>
      </c>
      <c r="V94" s="4"/>
      <c r="AC94" t="s">
        <v>629</v>
      </c>
      <c r="AG94" t="s">
        <v>205</v>
      </c>
      <c r="AH94" t="str" cm="1">
        <f t="array" ref="AH94">_xlfn._xlws.FILTER(saisons[nom],(saisons[debut]&lt;=suivi[[#This Row],[date]])*(saisons[fin]&gt;=suivi[[#This Row],[date]]))</f>
        <v>2024-2025</v>
      </c>
      <c r="AI94">
        <f>MIN(COUNTIFS(suivi[entree.categorie],"Evènement",suivi[entree.nom],suivi[[#This Row],[entree.nom]]),1)</f>
        <v>0</v>
      </c>
      <c r="AK94" t="str" cm="1">
        <f t="array" ref="AK94">IFERROR(_xlfn.TEXTJOIN(",",TRUE,_xlfn.UNIQUE(_xlfn._xlws.FILTER(suivi['#support.traite_manuel],(suivi[[#This Row],['#support.nom]]&lt;&gt;"")*(suivi['#support.nom]=suivi[[#This Row],['#support.nom]])))),"-")</f>
        <v/>
      </c>
    </row>
    <row r="95" spans="1:37" x14ac:dyDescent="0.25">
      <c r="A95" s="1">
        <v>45597</v>
      </c>
      <c r="B95">
        <f>ROW(suivi[[#This Row],['#support.id]])-ROW(suivi[[#Headers],['#support.saison_en_cours]])</f>
        <v>92</v>
      </c>
      <c r="C95" s="7" t="str">
        <f>IF(suivi[[#This Row],['#support.saison]]=saison_en_cours,1,"")</f>
        <v/>
      </c>
      <c r="D95" t="s">
        <v>7</v>
      </c>
      <c r="G95" s="10">
        <v>2</v>
      </c>
      <c r="J95" s="25"/>
      <c r="K95" s="25"/>
      <c r="P9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95" s="7">
        <f>IF(suivi[[#This Row],['#support.nom]]="","",COUNTIF(suivi['#support.nom],suivi[[#This Row],['#support.nom]]))</f>
        <v>30</v>
      </c>
      <c r="T95" s="1"/>
      <c r="V95" s="4"/>
      <c r="AH95" t="str" cm="1">
        <f t="array" ref="AH95">_xlfn._xlws.FILTER(saisons[nom],(saisons[debut]&lt;=suivi[[#This Row],[date]])*(saisons[fin]&gt;=suivi[[#This Row],[date]]))</f>
        <v>2024-2025</v>
      </c>
      <c r="AI95">
        <f>MIN(COUNTIFS(suivi[entree.categorie],"Evènement",suivi[entree.nom],suivi[[#This Row],[entree.nom]]),1)</f>
        <v>0</v>
      </c>
      <c r="AK95" t="str" cm="1">
        <f t="array" ref="AK95">IFERROR(_xlfn.TEXTJOIN(",",TRUE,_xlfn.UNIQUE(_xlfn._xlws.FILTER(suivi['#support.traite_manuel],(suivi[[#This Row],['#support.nom]]&lt;&gt;"")*(suivi['#support.nom]=suivi[[#This Row],['#support.nom]])))),"-")</f>
        <v/>
      </c>
    </row>
    <row r="96" spans="1:37" x14ac:dyDescent="0.25">
      <c r="A96" s="1">
        <v>45604</v>
      </c>
      <c r="B96">
        <f>ROW(suivi[[#This Row],['#support.id]])-ROW(suivi[[#Headers],['#support.saison_en_cours]])</f>
        <v>93</v>
      </c>
      <c r="C96" s="7" t="str">
        <f>IF(suivi[[#This Row],['#support.saison]]=saison_en_cours,1,"")</f>
        <v/>
      </c>
      <c r="D96" t="s">
        <v>7</v>
      </c>
      <c r="G96" s="10">
        <v>1</v>
      </c>
      <c r="J96" s="25"/>
      <c r="K96" s="25"/>
      <c r="P9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6" s="7">
        <f>IF(suivi[[#This Row],['#support.nom]]="","",COUNTIF(suivi['#support.nom],suivi[[#This Row],['#support.nom]]))</f>
        <v>98</v>
      </c>
      <c r="T96" s="1"/>
      <c r="V96" s="4"/>
      <c r="AH96" t="str" cm="1">
        <f t="array" ref="AH96">_xlfn._xlws.FILTER(saisons[nom],(saisons[debut]&lt;=suivi[[#This Row],[date]])*(saisons[fin]&gt;=suivi[[#This Row],[date]]))</f>
        <v>2024-2025</v>
      </c>
      <c r="AI96">
        <f>MIN(COUNTIFS(suivi[entree.categorie],"Evènement",suivi[entree.nom],suivi[[#This Row],[entree.nom]]),1)</f>
        <v>0</v>
      </c>
      <c r="AK96" t="str" cm="1">
        <f t="array" ref="AK96">IFERROR(_xlfn.TEXTJOIN(",",TRUE,_xlfn.UNIQUE(_xlfn._xlws.FILTER(suivi['#support.traite_manuel],(suivi[[#This Row],['#support.nom]]&lt;&gt;"")*(suivi['#support.nom]=suivi[[#This Row],['#support.nom]])))),"-")</f>
        <v/>
      </c>
    </row>
    <row r="97" spans="1:37" x14ac:dyDescent="0.25">
      <c r="A97" s="1">
        <v>45604</v>
      </c>
      <c r="B97">
        <f>ROW(suivi[[#This Row],['#support.id]])-ROW(suivi[[#Headers],['#support.saison_en_cours]])</f>
        <v>94</v>
      </c>
      <c r="C97" s="7" t="str">
        <f>IF(suivi[[#This Row],['#support.saison]]=saison_en_cours,1,"")</f>
        <v/>
      </c>
      <c r="D97" t="s">
        <v>7</v>
      </c>
      <c r="G97" s="10">
        <v>2</v>
      </c>
      <c r="J97" s="25"/>
      <c r="K97" s="25"/>
      <c r="P9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97" s="7">
        <f>IF(suivi[[#This Row],['#support.nom]]="","",COUNTIF(suivi['#support.nom],suivi[[#This Row],['#support.nom]]))</f>
        <v>30</v>
      </c>
      <c r="T97" s="1"/>
      <c r="V97" s="4"/>
      <c r="AH97" t="str" cm="1">
        <f t="array" ref="AH97">_xlfn._xlws.FILTER(saisons[nom],(saisons[debut]&lt;=suivi[[#This Row],[date]])*(saisons[fin]&gt;=suivi[[#This Row],[date]]))</f>
        <v>2024-2025</v>
      </c>
      <c r="AI97">
        <f>MIN(COUNTIFS(suivi[entree.categorie],"Evènement",suivi[entree.nom],suivi[[#This Row],[entree.nom]]),1)</f>
        <v>0</v>
      </c>
      <c r="AK97" t="str" cm="1">
        <f t="array" ref="AK97">IFERROR(_xlfn.TEXTJOIN(",",TRUE,_xlfn.UNIQUE(_xlfn._xlws.FILTER(suivi['#support.traite_manuel],(suivi[[#This Row],['#support.nom]]&lt;&gt;"")*(suivi['#support.nom]=suivi[[#This Row],['#support.nom]])))),"-")</f>
        <v/>
      </c>
    </row>
    <row r="98" spans="1:37" x14ac:dyDescent="0.25">
      <c r="A98" s="1">
        <v>45611</v>
      </c>
      <c r="B98">
        <f>ROW(suivi[[#This Row],['#support.id]])-ROW(suivi[[#Headers],['#support.saison_en_cours]])</f>
        <v>95</v>
      </c>
      <c r="C98" s="7" t="str">
        <f>IF(suivi[[#This Row],['#support.saison]]=saison_en_cours,1,"")</f>
        <v/>
      </c>
      <c r="D98" t="s">
        <v>7</v>
      </c>
      <c r="G98" s="10">
        <v>1</v>
      </c>
      <c r="J98" s="25"/>
      <c r="K98" s="25"/>
      <c r="P9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8" s="7">
        <f>IF(suivi[[#This Row],['#support.nom]]="","",COUNTIF(suivi['#support.nom],suivi[[#This Row],['#support.nom]]))</f>
        <v>98</v>
      </c>
      <c r="T98" s="1"/>
      <c r="V98" s="4"/>
      <c r="AH98" t="str" cm="1">
        <f t="array" ref="AH98">_xlfn._xlws.FILTER(saisons[nom],(saisons[debut]&lt;=suivi[[#This Row],[date]])*(saisons[fin]&gt;=suivi[[#This Row],[date]]))</f>
        <v>2024-2025</v>
      </c>
      <c r="AI98">
        <f>MIN(COUNTIFS(suivi[entree.categorie],"Evènement",suivi[entree.nom],suivi[[#This Row],[entree.nom]]),1)</f>
        <v>0</v>
      </c>
      <c r="AK98" t="str" cm="1">
        <f t="array" ref="AK98">IFERROR(_xlfn.TEXTJOIN(",",TRUE,_xlfn.UNIQUE(_xlfn._xlws.FILTER(suivi['#support.traite_manuel],(suivi[[#This Row],['#support.nom]]&lt;&gt;"")*(suivi['#support.nom]=suivi[[#This Row],['#support.nom]])))),"-")</f>
        <v/>
      </c>
    </row>
    <row r="99" spans="1:37" x14ac:dyDescent="0.25">
      <c r="A99" s="1">
        <v>45611</v>
      </c>
      <c r="B99">
        <f>ROW(suivi[[#This Row],['#support.id]])-ROW(suivi[[#Headers],['#support.saison_en_cours]])</f>
        <v>96</v>
      </c>
      <c r="C99" s="7" t="str">
        <f>IF(suivi[[#This Row],['#support.saison]]=saison_en_cours,1,"")</f>
        <v/>
      </c>
      <c r="D99" t="s">
        <v>7</v>
      </c>
      <c r="G99" s="10">
        <v>2</v>
      </c>
      <c r="J99" s="25"/>
      <c r="K99" s="25"/>
      <c r="P9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99" s="7">
        <f>IF(suivi[[#This Row],['#support.nom]]="","",COUNTIF(suivi['#support.nom],suivi[[#This Row],['#support.nom]]))</f>
        <v>30</v>
      </c>
      <c r="T99" s="1"/>
      <c r="V99" s="4"/>
      <c r="AH99" t="str" cm="1">
        <f t="array" ref="AH99">_xlfn._xlws.FILTER(saisons[nom],(saisons[debut]&lt;=suivi[[#This Row],[date]])*(saisons[fin]&gt;=suivi[[#This Row],[date]]))</f>
        <v>2024-2025</v>
      </c>
      <c r="AI99">
        <f>MIN(COUNTIFS(suivi[entree.categorie],"Evènement",suivi[entree.nom],suivi[[#This Row],[entree.nom]]),1)</f>
        <v>0</v>
      </c>
      <c r="AK99" t="str" cm="1">
        <f t="array" ref="AK99">IFERROR(_xlfn.TEXTJOIN(",",TRUE,_xlfn.UNIQUE(_xlfn._xlws.FILTER(suivi['#support.traite_manuel],(suivi[[#This Row],['#support.nom]]&lt;&gt;"")*(suivi['#support.nom]=suivi[[#This Row],['#support.nom]])))),"-")</f>
        <v/>
      </c>
    </row>
    <row r="100" spans="1:37" x14ac:dyDescent="0.25">
      <c r="A100" s="1">
        <v>45611</v>
      </c>
      <c r="B100">
        <f>ROW(suivi[[#This Row],['#support.id]])-ROW(suivi[[#Headers],['#support.saison_en_cours]])</f>
        <v>97</v>
      </c>
      <c r="C100" s="7" t="str">
        <f>IF(suivi[[#This Row],['#support.saison]]=saison_en_cours,1,"")</f>
        <v/>
      </c>
      <c r="D100" t="s">
        <v>7</v>
      </c>
      <c r="G100" s="10">
        <v>5</v>
      </c>
      <c r="J100" s="25"/>
      <c r="K100" s="25"/>
      <c r="P10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100" s="7">
        <f>IF(suivi[[#This Row],['#support.nom]]="","",COUNTIF(suivi['#support.nom],suivi[[#This Row],['#support.nom]]))</f>
        <v>14</v>
      </c>
      <c r="T100" s="1"/>
      <c r="V100" s="4"/>
      <c r="AH100" t="str" cm="1">
        <f t="array" ref="AH100">_xlfn._xlws.FILTER(saisons[nom],(saisons[debut]&lt;=suivi[[#This Row],[date]])*(saisons[fin]&gt;=suivi[[#This Row],[date]]))</f>
        <v>2024-2025</v>
      </c>
      <c r="AI100">
        <f>MIN(COUNTIFS(suivi[entree.categorie],"Evènement",suivi[entree.nom],suivi[[#This Row],[entree.nom]]),1)</f>
        <v>0</v>
      </c>
      <c r="AK100" t="str" cm="1">
        <f t="array" ref="AK100">IFERROR(_xlfn.TEXTJOIN(",",TRUE,_xlfn.UNIQUE(_xlfn._xlws.FILTER(suivi['#support.traite_manuel],(suivi[[#This Row],['#support.nom]]&lt;&gt;"")*(suivi['#support.nom]=suivi[[#This Row],['#support.nom]])))),"-")</f>
        <v/>
      </c>
    </row>
    <row r="101" spans="1:37" x14ac:dyDescent="0.25">
      <c r="A101" s="1">
        <v>45618</v>
      </c>
      <c r="B101">
        <f>ROW(suivi[[#This Row],['#support.id]])-ROW(suivi[[#Headers],['#support.saison_en_cours]])</f>
        <v>98</v>
      </c>
      <c r="C101" s="7" t="str">
        <f>IF(suivi[[#This Row],['#support.saison]]=saison_en_cours,1,"")</f>
        <v/>
      </c>
      <c r="D101" t="s">
        <v>7</v>
      </c>
      <c r="G101" s="10">
        <v>1</v>
      </c>
      <c r="J101" s="25"/>
      <c r="K101" s="25"/>
      <c r="P10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1" s="7">
        <f>IF(suivi[[#This Row],['#support.nom]]="","",COUNTIF(suivi['#support.nom],suivi[[#This Row],['#support.nom]]))</f>
        <v>98</v>
      </c>
      <c r="T101" s="1"/>
      <c r="V101" s="4"/>
      <c r="AH101" t="str" cm="1">
        <f t="array" ref="AH101">_xlfn._xlws.FILTER(saisons[nom],(saisons[debut]&lt;=suivi[[#This Row],[date]])*(saisons[fin]&gt;=suivi[[#This Row],[date]]))</f>
        <v>2024-2025</v>
      </c>
      <c r="AI101">
        <f>MIN(COUNTIFS(suivi[entree.categorie],"Evènement",suivi[entree.nom],suivi[[#This Row],[entree.nom]]),1)</f>
        <v>0</v>
      </c>
      <c r="AK101" t="str" cm="1">
        <f t="array" ref="AK101">IFERROR(_xlfn.TEXTJOIN(",",TRUE,_xlfn.UNIQUE(_xlfn._xlws.FILTER(suivi['#support.traite_manuel],(suivi[[#This Row],['#support.nom]]&lt;&gt;"")*(suivi['#support.nom]=suivi[[#This Row],['#support.nom]])))),"-")</f>
        <v/>
      </c>
    </row>
    <row r="102" spans="1:37" x14ac:dyDescent="0.25">
      <c r="A102" s="1">
        <v>45625</v>
      </c>
      <c r="B102">
        <f>ROW(suivi[[#This Row],['#support.id]])-ROW(suivi[[#Headers],['#support.saison_en_cours]])</f>
        <v>99</v>
      </c>
      <c r="C102" s="7" t="str">
        <f>IF(suivi[[#This Row],['#support.saison]]=saison_en_cours,1,"")</f>
        <v/>
      </c>
      <c r="D102" t="s">
        <v>7</v>
      </c>
      <c r="G102" s="10">
        <v>1</v>
      </c>
      <c r="J102" s="25"/>
      <c r="K102" s="25"/>
      <c r="P10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2" s="7">
        <f>IF(suivi[[#This Row],['#support.nom]]="","",COUNTIF(suivi['#support.nom],suivi[[#This Row],['#support.nom]]))</f>
        <v>98</v>
      </c>
      <c r="T102" s="1"/>
      <c r="V102" s="4"/>
      <c r="AH102" t="str" cm="1">
        <f t="array" ref="AH102">_xlfn._xlws.FILTER(saisons[nom],(saisons[debut]&lt;=suivi[[#This Row],[date]])*(saisons[fin]&gt;=suivi[[#This Row],[date]]))</f>
        <v>2024-2025</v>
      </c>
      <c r="AI102">
        <f>MIN(COUNTIFS(suivi[entree.categorie],"Evènement",suivi[entree.nom],suivi[[#This Row],[entree.nom]]),1)</f>
        <v>0</v>
      </c>
      <c r="AK102" t="str" cm="1">
        <f t="array" ref="AK102">IFERROR(_xlfn.TEXTJOIN(",",TRUE,_xlfn.UNIQUE(_xlfn._xlws.FILTER(suivi['#support.traite_manuel],(suivi[[#This Row],['#support.nom]]&lt;&gt;"")*(suivi['#support.nom]=suivi[[#This Row],['#support.nom]])))),"-")</f>
        <v/>
      </c>
    </row>
    <row r="103" spans="1:37" x14ac:dyDescent="0.25">
      <c r="A103" s="1">
        <v>45625</v>
      </c>
      <c r="B103">
        <f>ROW(suivi[[#This Row],['#support.id]])-ROW(suivi[[#Headers],['#support.saison_en_cours]])</f>
        <v>100</v>
      </c>
      <c r="C103" s="7" t="str">
        <f>IF(suivi[[#This Row],['#support.saison]]=saison_en_cours,1,"")</f>
        <v/>
      </c>
      <c r="D103" t="s">
        <v>7</v>
      </c>
      <c r="G103" s="10">
        <v>2</v>
      </c>
      <c r="J103" s="25"/>
      <c r="K103" s="25"/>
      <c r="P10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03" s="7">
        <f>IF(suivi[[#This Row],['#support.nom]]="","",COUNTIF(suivi['#support.nom],suivi[[#This Row],['#support.nom]]))</f>
        <v>30</v>
      </c>
      <c r="T103" s="1"/>
      <c r="V103" s="4"/>
      <c r="AH103" t="str" cm="1">
        <f t="array" ref="AH103">_xlfn._xlws.FILTER(saisons[nom],(saisons[debut]&lt;=suivi[[#This Row],[date]])*(saisons[fin]&gt;=suivi[[#This Row],[date]]))</f>
        <v>2024-2025</v>
      </c>
      <c r="AI103">
        <f>MIN(COUNTIFS(suivi[entree.categorie],"Evènement",suivi[entree.nom],suivi[[#This Row],[entree.nom]]),1)</f>
        <v>0</v>
      </c>
      <c r="AK103" t="str" cm="1">
        <f t="array" ref="AK103">IFERROR(_xlfn.TEXTJOIN(",",TRUE,_xlfn.UNIQUE(_xlfn._xlws.FILTER(suivi['#support.traite_manuel],(suivi[[#This Row],['#support.nom]]&lt;&gt;"")*(suivi['#support.nom]=suivi[[#This Row],['#support.nom]])))),"-")</f>
        <v/>
      </c>
    </row>
    <row r="104" spans="1:37" x14ac:dyDescent="0.25">
      <c r="A104" s="1">
        <v>45632</v>
      </c>
      <c r="B104">
        <f>ROW(suivi[[#This Row],['#support.id]])-ROW(suivi[[#Headers],['#support.saison_en_cours]])</f>
        <v>101</v>
      </c>
      <c r="C104" s="7" t="str">
        <f>IF(suivi[[#This Row],['#support.saison]]=saison_en_cours,1,"")</f>
        <v/>
      </c>
      <c r="D104" t="s">
        <v>7</v>
      </c>
      <c r="G104" s="10">
        <v>1</v>
      </c>
      <c r="J104" s="25"/>
      <c r="K104" s="25"/>
      <c r="P10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4" s="7">
        <f>IF(suivi[[#This Row],['#support.nom]]="","",COUNTIF(suivi['#support.nom],suivi[[#This Row],['#support.nom]]))</f>
        <v>98</v>
      </c>
      <c r="T104" s="1"/>
      <c r="V104" s="4"/>
      <c r="AH104" t="str" cm="1">
        <f t="array" ref="AH104">_xlfn._xlws.FILTER(saisons[nom],(saisons[debut]&lt;=suivi[[#This Row],[date]])*(saisons[fin]&gt;=suivi[[#This Row],[date]]))</f>
        <v>2024-2025</v>
      </c>
      <c r="AI104">
        <f>MIN(COUNTIFS(suivi[entree.categorie],"Evènement",suivi[entree.nom],suivi[[#This Row],[entree.nom]]),1)</f>
        <v>0</v>
      </c>
      <c r="AK104" t="str" cm="1">
        <f t="array" ref="AK104">IFERROR(_xlfn.TEXTJOIN(",",TRUE,_xlfn.UNIQUE(_xlfn._xlws.FILTER(suivi['#support.traite_manuel],(suivi[[#This Row],['#support.nom]]&lt;&gt;"")*(suivi['#support.nom]=suivi[[#This Row],['#support.nom]])))),"-")</f>
        <v/>
      </c>
    </row>
    <row r="105" spans="1:37" x14ac:dyDescent="0.25">
      <c r="A105" s="1">
        <v>45639</v>
      </c>
      <c r="B105">
        <f>ROW(suivi[[#This Row],['#support.id]])-ROW(suivi[[#Headers],['#support.saison_en_cours]])</f>
        <v>102</v>
      </c>
      <c r="C105" s="7" t="str">
        <f>IF(suivi[[#This Row],['#support.saison]]=saison_en_cours,1,"")</f>
        <v/>
      </c>
      <c r="D105" t="s">
        <v>7</v>
      </c>
      <c r="G105" s="10">
        <v>1</v>
      </c>
      <c r="J105" s="25"/>
      <c r="K105" s="25"/>
      <c r="P10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5" s="7">
        <f>IF(suivi[[#This Row],['#support.nom]]="","",COUNTIF(suivi['#support.nom],suivi[[#This Row],['#support.nom]]))</f>
        <v>98</v>
      </c>
      <c r="T105" s="1"/>
      <c r="V105" s="4"/>
      <c r="AH105" t="str" cm="1">
        <f t="array" ref="AH105">_xlfn._xlws.FILTER(saisons[nom],(saisons[debut]&lt;=suivi[[#This Row],[date]])*(saisons[fin]&gt;=suivi[[#This Row],[date]]))</f>
        <v>2024-2025</v>
      </c>
      <c r="AI105">
        <f>MIN(COUNTIFS(suivi[entree.categorie],"Evènement",suivi[entree.nom],suivi[[#This Row],[entree.nom]]),1)</f>
        <v>0</v>
      </c>
      <c r="AK105" t="str" cm="1">
        <f t="array" ref="AK105">IFERROR(_xlfn.TEXTJOIN(",",TRUE,_xlfn.UNIQUE(_xlfn._xlws.FILTER(suivi['#support.traite_manuel],(suivi[[#This Row],['#support.nom]]&lt;&gt;"")*(suivi['#support.nom]=suivi[[#This Row],['#support.nom]])))),"-")</f>
        <v/>
      </c>
    </row>
    <row r="106" spans="1:37" x14ac:dyDescent="0.25">
      <c r="A106" s="1">
        <v>45646</v>
      </c>
      <c r="B106">
        <f>ROW(suivi[[#This Row],['#support.id]])-ROW(suivi[[#Headers],['#support.saison_en_cours]])</f>
        <v>103</v>
      </c>
      <c r="C106" s="7" t="str">
        <f>IF(suivi[[#This Row],['#support.saison]]=saison_en_cours,1,"")</f>
        <v/>
      </c>
      <c r="D106" t="s">
        <v>7</v>
      </c>
      <c r="G106" s="10">
        <v>1</v>
      </c>
      <c r="J106" s="25"/>
      <c r="K106" s="25"/>
      <c r="P10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6" s="7">
        <f>IF(suivi[[#This Row],['#support.nom]]="","",COUNTIF(suivi['#support.nom],suivi[[#This Row],['#support.nom]]))</f>
        <v>98</v>
      </c>
      <c r="T106" s="1"/>
      <c r="V106" s="4"/>
      <c r="AH106" t="str" cm="1">
        <f t="array" ref="AH106">_xlfn._xlws.FILTER(saisons[nom],(saisons[debut]&lt;=suivi[[#This Row],[date]])*(saisons[fin]&gt;=suivi[[#This Row],[date]]))</f>
        <v>2024-2025</v>
      </c>
      <c r="AI106">
        <f>MIN(COUNTIFS(suivi[entree.categorie],"Evènement",suivi[entree.nom],suivi[[#This Row],[entree.nom]]),1)</f>
        <v>0</v>
      </c>
      <c r="AK106" t="str" cm="1">
        <f t="array" ref="AK106">IFERROR(_xlfn.TEXTJOIN(",",TRUE,_xlfn.UNIQUE(_xlfn._xlws.FILTER(suivi['#support.traite_manuel],(suivi[[#This Row],['#support.nom]]&lt;&gt;"")*(suivi['#support.nom]=suivi[[#This Row],['#support.nom]])))),"-")</f>
        <v/>
      </c>
    </row>
    <row r="107" spans="1:37" x14ac:dyDescent="0.25">
      <c r="A107" s="1">
        <v>45660</v>
      </c>
      <c r="B107">
        <f>ROW(suivi[[#This Row],['#support.id]])-ROW(suivi[[#Headers],['#support.saison_en_cours]])</f>
        <v>104</v>
      </c>
      <c r="C107" s="7" t="str">
        <f>IF(suivi[[#This Row],['#support.saison]]=saison_en_cours,1,"")</f>
        <v/>
      </c>
      <c r="D107" t="s">
        <v>7</v>
      </c>
      <c r="G107" s="10">
        <v>1</v>
      </c>
      <c r="J107" s="25"/>
      <c r="K107" s="25"/>
      <c r="P10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7" s="7">
        <f>IF(suivi[[#This Row],['#support.nom]]="","",COUNTIF(suivi['#support.nom],suivi[[#This Row],['#support.nom]]))</f>
        <v>98</v>
      </c>
      <c r="T107" s="1"/>
      <c r="V107" s="4"/>
      <c r="AH107" t="str" cm="1">
        <f t="array" ref="AH107">_xlfn._xlws.FILTER(saisons[nom],(saisons[debut]&lt;=suivi[[#This Row],[date]])*(saisons[fin]&gt;=suivi[[#This Row],[date]]))</f>
        <v>2024-2025</v>
      </c>
      <c r="AI107">
        <f>MIN(COUNTIFS(suivi[entree.categorie],"Evènement",suivi[entree.nom],suivi[[#This Row],[entree.nom]]),1)</f>
        <v>0</v>
      </c>
      <c r="AK107" t="str" cm="1">
        <f t="array" ref="AK107">IFERROR(_xlfn.TEXTJOIN(",",TRUE,_xlfn.UNIQUE(_xlfn._xlws.FILTER(suivi['#support.traite_manuel],(suivi[[#This Row],['#support.nom]]&lt;&gt;"")*(suivi['#support.nom]=suivi[[#This Row],['#support.nom]])))),"-")</f>
        <v/>
      </c>
    </row>
    <row r="108" spans="1:37" x14ac:dyDescent="0.25">
      <c r="A108" s="1">
        <v>45660</v>
      </c>
      <c r="B108">
        <f>ROW(suivi[[#This Row],['#support.id]])-ROW(suivi[[#Headers],['#support.saison_en_cours]])</f>
        <v>105</v>
      </c>
      <c r="C108" s="7" t="str">
        <f>IF(suivi[[#This Row],['#support.saison]]=saison_en_cours,1,"")</f>
        <v/>
      </c>
      <c r="D108" t="s">
        <v>7</v>
      </c>
      <c r="G108" s="10">
        <v>2</v>
      </c>
      <c r="J108" s="25"/>
      <c r="K108" s="25"/>
      <c r="P10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08" s="7">
        <f>IF(suivi[[#This Row],['#support.nom]]="","",COUNTIF(suivi['#support.nom],suivi[[#This Row],['#support.nom]]))</f>
        <v>30</v>
      </c>
      <c r="T108" s="1"/>
      <c r="V108" s="4"/>
      <c r="AH108" t="str" cm="1">
        <f t="array" ref="AH108">_xlfn._xlws.FILTER(saisons[nom],(saisons[debut]&lt;=suivi[[#This Row],[date]])*(saisons[fin]&gt;=suivi[[#This Row],[date]]))</f>
        <v>2024-2025</v>
      </c>
      <c r="AI108">
        <f>MIN(COUNTIFS(suivi[entree.categorie],"Evènement",suivi[entree.nom],suivi[[#This Row],[entree.nom]]),1)</f>
        <v>0</v>
      </c>
      <c r="AK108" t="str" cm="1">
        <f t="array" ref="AK108">IFERROR(_xlfn.TEXTJOIN(",",TRUE,_xlfn.UNIQUE(_xlfn._xlws.FILTER(suivi['#support.traite_manuel],(suivi[[#This Row],['#support.nom]]&lt;&gt;"")*(suivi['#support.nom]=suivi[[#This Row],['#support.nom]])))),"-")</f>
        <v/>
      </c>
    </row>
    <row r="109" spans="1:37" x14ac:dyDescent="0.25">
      <c r="A109" s="1">
        <v>45665</v>
      </c>
      <c r="B109" s="28">
        <f>ROW(suivi[[#This Row],['#support.id]])-ROW(suivi[[#Headers],['#support.saison_en_cours]])</f>
        <v>106</v>
      </c>
      <c r="C109" s="31" t="str">
        <f>IF(suivi[[#This Row],['#support.saison]]=saison_en_cours,1,"")</f>
        <v/>
      </c>
      <c r="D109" t="s">
        <v>0</v>
      </c>
      <c r="E109" t="s">
        <v>681</v>
      </c>
      <c r="F109" t="s">
        <v>705</v>
      </c>
      <c r="G109" s="10"/>
      <c r="I109" t="s">
        <v>438</v>
      </c>
      <c r="J109" s="25"/>
      <c r="K109" s="25">
        <v>-54.5</v>
      </c>
      <c r="P109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2025_Galette - le fournil des bocages_106</v>
      </c>
      <c r="Q109" s="31">
        <f>IF(suivi[[#This Row],['#support.nom]]="","",COUNTIF(suivi['#support.nom],suivi[[#This Row],['#support.nom]]))</f>
        <v>1</v>
      </c>
      <c r="T109" s="1"/>
      <c r="V109" s="4"/>
      <c r="AH109" s="28" t="str" cm="1">
        <f t="array" ref="AH109">_xlfn._xlws.FILTER(saisons[nom],(saisons[debut]&lt;=suivi[[#This Row],[date]])*(saisons[fin]&gt;=suivi[[#This Row],[date]]))</f>
        <v>2024-2025</v>
      </c>
      <c r="AI109" s="28">
        <f>MIN(COUNTIFS(suivi[entree.categorie],"Evènement",suivi[entree.nom],suivi[[#This Row],[entree.nom]]),1)</f>
        <v>1</v>
      </c>
      <c r="AK109" s="28" t="str" cm="1">
        <f t="array" ref="AK109">IFERROR(_xlfn.TEXTJOIN(",",TRUE,_xlfn.UNIQUE(_xlfn._xlws.FILTER(suivi['#support.traite_manuel],(suivi[[#This Row],['#support.nom]]&lt;&gt;"")*(suivi['#support.nom]=suivi[[#This Row],['#support.nom]])))),"-")</f>
        <v/>
      </c>
    </row>
    <row r="110" spans="1:37" x14ac:dyDescent="0.25">
      <c r="A110" s="1">
        <v>45665</v>
      </c>
      <c r="B110" s="28">
        <f>ROW(suivi[[#This Row],['#support.id]])-ROW(suivi[[#Headers],['#support.saison_en_cours]])</f>
        <v>107</v>
      </c>
      <c r="C110" s="31" t="str">
        <f>IF(suivi[[#This Row],['#support.saison]]=saison_en_cours,1,"")</f>
        <v/>
      </c>
      <c r="D110" t="s">
        <v>0</v>
      </c>
      <c r="E110" t="s">
        <v>681</v>
      </c>
      <c r="F110" t="s">
        <v>706</v>
      </c>
      <c r="G110" s="10"/>
      <c r="I110" t="s">
        <v>438</v>
      </c>
      <c r="J110" s="25"/>
      <c r="K110" s="25">
        <v>-16.609999999999996</v>
      </c>
      <c r="P110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2025_Consommables - carrefour_107</v>
      </c>
      <c r="Q110" s="31">
        <f>IF(suivi[[#This Row],['#support.nom]]="","",COUNTIF(suivi['#support.nom],suivi[[#This Row],['#support.nom]]))</f>
        <v>1</v>
      </c>
      <c r="T110" s="1"/>
      <c r="V110" s="4"/>
      <c r="AH110" s="28" t="str" cm="1">
        <f t="array" ref="AH110">_xlfn._xlws.FILTER(saisons[nom],(saisons[debut]&lt;=suivi[[#This Row],[date]])*(saisons[fin]&gt;=suivi[[#This Row],[date]]))</f>
        <v>2024-2025</v>
      </c>
      <c r="AI110" s="28">
        <f>MIN(COUNTIFS(suivi[entree.categorie],"Evènement",suivi[entree.nom],suivi[[#This Row],[entree.nom]]),1)</f>
        <v>1</v>
      </c>
      <c r="AK110" s="28" t="str" cm="1">
        <f t="array" ref="AK110">IFERROR(_xlfn.TEXTJOIN(",",TRUE,_xlfn.UNIQUE(_xlfn._xlws.FILTER(suivi['#support.traite_manuel],(suivi[[#This Row],['#support.nom]]&lt;&gt;"")*(suivi['#support.nom]=suivi[[#This Row],['#support.nom]])))),"-")</f>
        <v/>
      </c>
    </row>
    <row r="111" spans="1:37" x14ac:dyDescent="0.25">
      <c r="A111" s="1">
        <v>45667</v>
      </c>
      <c r="B111">
        <f>ROW(suivi[[#This Row],['#support.id]])-ROW(suivi[[#Headers],['#support.saison_en_cours]])</f>
        <v>108</v>
      </c>
      <c r="C111" s="7" t="str">
        <f>IF(suivi[[#This Row],['#support.saison]]=saison_en_cours,1,"")</f>
        <v/>
      </c>
      <c r="D111" t="s">
        <v>7</v>
      </c>
      <c r="E111" t="s">
        <v>681</v>
      </c>
      <c r="G111" s="10">
        <v>1</v>
      </c>
      <c r="J111" s="25"/>
      <c r="K111" s="25"/>
      <c r="P11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1" s="7">
        <f>IF(suivi[[#This Row],['#support.nom]]="","",COUNTIF(suivi['#support.nom],suivi[[#This Row],['#support.nom]]))</f>
        <v>98</v>
      </c>
      <c r="T111" s="1"/>
      <c r="V111" s="4"/>
      <c r="AH111" t="str" cm="1">
        <f t="array" ref="AH111">_xlfn._xlws.FILTER(saisons[nom],(saisons[debut]&lt;=suivi[[#This Row],[date]])*(saisons[fin]&gt;=suivi[[#This Row],[date]]))</f>
        <v>2024-2025</v>
      </c>
      <c r="AI111">
        <f>MIN(COUNTIFS(suivi[entree.categorie],"Evènement",suivi[entree.nom],suivi[[#This Row],[entree.nom]]),1)</f>
        <v>1</v>
      </c>
      <c r="AK111" t="str" cm="1">
        <f t="array" ref="AK111">IFERROR(_xlfn.TEXTJOIN(",",TRUE,_xlfn.UNIQUE(_xlfn._xlws.FILTER(suivi['#support.traite_manuel],(suivi[[#This Row],['#support.nom]]&lt;&gt;"")*(suivi['#support.nom]=suivi[[#This Row],['#support.nom]])))),"-")</f>
        <v/>
      </c>
    </row>
    <row r="112" spans="1:37" x14ac:dyDescent="0.25">
      <c r="A112" s="1">
        <v>45667</v>
      </c>
      <c r="B112">
        <f>ROW(suivi[[#This Row],['#support.id]])-ROW(suivi[[#Headers],['#support.saison_en_cours]])</f>
        <v>109</v>
      </c>
      <c r="C112" s="7" t="str">
        <f>IF(suivi[[#This Row],['#support.saison]]=saison_en_cours,1,"")</f>
        <v/>
      </c>
      <c r="D112" t="s">
        <v>7</v>
      </c>
      <c r="E112" t="s">
        <v>681</v>
      </c>
      <c r="G112" s="10">
        <v>2</v>
      </c>
      <c r="J112" s="25"/>
      <c r="K112" s="25"/>
      <c r="P11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12" s="7">
        <f>IF(suivi[[#This Row],['#support.nom]]="","",COUNTIF(suivi['#support.nom],suivi[[#This Row],['#support.nom]]))</f>
        <v>30</v>
      </c>
      <c r="T112" s="1"/>
      <c r="V112" s="4"/>
      <c r="AH112" t="str" cm="1">
        <f t="array" ref="AH112">_xlfn._xlws.FILTER(saisons[nom],(saisons[debut]&lt;=suivi[[#This Row],[date]])*(saisons[fin]&gt;=suivi[[#This Row],[date]]))</f>
        <v>2024-2025</v>
      </c>
      <c r="AI112">
        <f>MIN(COUNTIFS(suivi[entree.categorie],"Evènement",suivi[entree.nom],suivi[[#This Row],[entree.nom]]),1)</f>
        <v>1</v>
      </c>
      <c r="AK112" t="str" cm="1">
        <f t="array" ref="AK112">IFERROR(_xlfn.TEXTJOIN(",",TRUE,_xlfn.UNIQUE(_xlfn._xlws.FILTER(suivi['#support.traite_manuel],(suivi[[#This Row],['#support.nom]]&lt;&gt;"")*(suivi['#support.nom]=suivi[[#This Row],['#support.nom]])))),"-")</f>
        <v/>
      </c>
    </row>
    <row r="113" spans="1:37" x14ac:dyDescent="0.25">
      <c r="A113" s="1">
        <v>45667</v>
      </c>
      <c r="B113" s="28">
        <f>ROW(suivi[[#This Row],['#support.id]])-ROW(suivi[[#Headers],['#support.saison_en_cours]])</f>
        <v>110</v>
      </c>
      <c r="C113" s="31" t="str">
        <f>IF(suivi[[#This Row],['#support.saison]]=saison_en_cours,1,"")</f>
        <v/>
      </c>
      <c r="D113" t="s">
        <v>0</v>
      </c>
      <c r="E113" t="s">
        <v>681</v>
      </c>
      <c r="G113" s="10"/>
      <c r="J113" s="25"/>
      <c r="K113" s="25"/>
      <c r="P113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2025_110</v>
      </c>
      <c r="Q113" s="31">
        <f>IF(suivi[[#This Row],['#support.nom]]="","",COUNTIF(suivi['#support.nom],suivi[[#This Row],['#support.nom]]))</f>
        <v>1</v>
      </c>
      <c r="T113" s="1"/>
      <c r="V113" s="4"/>
      <c r="AH113" s="28" t="str" cm="1">
        <f t="array" ref="AH113">_xlfn._xlws.FILTER(saisons[nom],(saisons[debut]&lt;=suivi[[#This Row],[date]])*(saisons[fin]&gt;=suivi[[#This Row],[date]]))</f>
        <v>2024-2025</v>
      </c>
      <c r="AI113" s="28">
        <f>MIN(COUNTIFS(suivi[entree.categorie],"Evènement",suivi[entree.nom],suivi[[#This Row],[entree.nom]]),1)</f>
        <v>1</v>
      </c>
      <c r="AK113" s="28" t="str" cm="1">
        <f t="array" ref="AK113">IFERROR(_xlfn.TEXTJOIN(",",TRUE,_xlfn.UNIQUE(_xlfn._xlws.FILTER(suivi['#support.traite_manuel],(suivi[[#This Row],['#support.nom]]&lt;&gt;"")*(suivi['#support.nom]=suivi[[#This Row],['#support.nom]])))),"-")</f>
        <v/>
      </c>
    </row>
    <row r="114" spans="1:37" x14ac:dyDescent="0.25">
      <c r="A114" s="1">
        <v>45674</v>
      </c>
      <c r="B114">
        <f>ROW(suivi[[#This Row],['#support.id]])-ROW(suivi[[#Headers],['#support.saison_en_cours]])</f>
        <v>111</v>
      </c>
      <c r="C114" s="7" t="str">
        <f>IF(suivi[[#This Row],['#support.saison]]=saison_en_cours,1,"")</f>
        <v/>
      </c>
      <c r="D114" t="s">
        <v>7</v>
      </c>
      <c r="G114" s="10">
        <v>1</v>
      </c>
      <c r="J114" s="25"/>
      <c r="K114" s="25"/>
      <c r="P11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4" s="7">
        <f>IF(suivi[[#This Row],['#support.nom]]="","",COUNTIF(suivi['#support.nom],suivi[[#This Row],['#support.nom]]))</f>
        <v>98</v>
      </c>
      <c r="T114" s="1"/>
      <c r="V114" s="4"/>
      <c r="AH114" t="str" cm="1">
        <f t="array" ref="AH114">_xlfn._xlws.FILTER(saisons[nom],(saisons[debut]&lt;=suivi[[#This Row],[date]])*(saisons[fin]&gt;=suivi[[#This Row],[date]]))</f>
        <v>2024-2025</v>
      </c>
      <c r="AI114">
        <f>MIN(COUNTIFS(suivi[entree.categorie],"Evènement",suivi[entree.nom],suivi[[#This Row],[entree.nom]]),1)</f>
        <v>0</v>
      </c>
      <c r="AK114" t="str" cm="1">
        <f t="array" ref="AK114">IFERROR(_xlfn.TEXTJOIN(",",TRUE,_xlfn.UNIQUE(_xlfn._xlws.FILTER(suivi['#support.traite_manuel],(suivi[[#This Row],['#support.nom]]&lt;&gt;"")*(suivi['#support.nom]=suivi[[#This Row],['#support.nom]])))),"-")</f>
        <v/>
      </c>
    </row>
    <row r="115" spans="1:37" x14ac:dyDescent="0.25">
      <c r="A115" s="1">
        <v>45674</v>
      </c>
      <c r="B115" s="28">
        <f>ROW(suivi[[#This Row],['#support.id]])-ROW(suivi[[#Headers],['#support.saison_en_cours]])</f>
        <v>112</v>
      </c>
      <c r="C115" s="31" t="str">
        <f>IF(suivi[[#This Row],['#support.saison]]=saison_en_cours,1,"")</f>
        <v/>
      </c>
      <c r="D115" t="s">
        <v>0</v>
      </c>
      <c r="E115" t="s">
        <v>681</v>
      </c>
      <c r="F115" t="s">
        <v>707</v>
      </c>
      <c r="G115" s="10"/>
      <c r="I115" t="s">
        <v>438</v>
      </c>
      <c r="J115" s="25"/>
      <c r="K115" s="25">
        <v>-5.94</v>
      </c>
      <c r="P115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2025_Boisson Nicolas_112</v>
      </c>
      <c r="Q115" s="31">
        <f>IF(suivi[[#This Row],['#support.nom]]="","",COUNTIF(suivi['#support.nom],suivi[[#This Row],['#support.nom]]))</f>
        <v>1</v>
      </c>
      <c r="T115" s="1"/>
      <c r="V115" s="4"/>
      <c r="AH115" s="28" t="str" cm="1">
        <f t="array" ref="AH115">_xlfn._xlws.FILTER(saisons[nom],(saisons[debut]&lt;=suivi[[#This Row],[date]])*(saisons[fin]&gt;=suivi[[#This Row],[date]]))</f>
        <v>2024-2025</v>
      </c>
      <c r="AI115" s="28">
        <f>MIN(COUNTIFS(suivi[entree.categorie],"Evènement",suivi[entree.nom],suivi[[#This Row],[entree.nom]]),1)</f>
        <v>1</v>
      </c>
      <c r="AK115" s="28" t="str" cm="1">
        <f t="array" ref="AK115">IFERROR(_xlfn.TEXTJOIN(",",TRUE,_xlfn.UNIQUE(_xlfn._xlws.FILTER(suivi['#support.traite_manuel],(suivi[[#This Row],['#support.nom]]&lt;&gt;"")*(suivi['#support.nom]=suivi[[#This Row],['#support.nom]])))),"-")</f>
        <v/>
      </c>
    </row>
    <row r="116" spans="1:37" x14ac:dyDescent="0.25">
      <c r="A116" s="1">
        <v>45681</v>
      </c>
      <c r="B116">
        <f>ROW(suivi[[#This Row],['#support.id]])-ROW(suivi[[#Headers],['#support.saison_en_cours]])</f>
        <v>113</v>
      </c>
      <c r="C116" s="7" t="str">
        <f>IF(suivi[[#This Row],['#support.saison]]=saison_en_cours,1,"")</f>
        <v/>
      </c>
      <c r="D116" t="s">
        <v>7</v>
      </c>
      <c r="G116" s="10">
        <v>1</v>
      </c>
      <c r="J116" s="25"/>
      <c r="K116" s="25"/>
      <c r="P11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6" s="7">
        <f>IF(suivi[[#This Row],['#support.nom]]="","",COUNTIF(suivi['#support.nom],suivi[[#This Row],['#support.nom]]))</f>
        <v>98</v>
      </c>
      <c r="T116" s="1"/>
      <c r="V116" s="4"/>
      <c r="AH116" t="str" cm="1">
        <f t="array" ref="AH116">_xlfn._xlws.FILTER(saisons[nom],(saisons[debut]&lt;=suivi[[#This Row],[date]])*(saisons[fin]&gt;=suivi[[#This Row],[date]]))</f>
        <v>2024-2025</v>
      </c>
      <c r="AI116">
        <f>MIN(COUNTIFS(suivi[entree.categorie],"Evènement",suivi[entree.nom],suivi[[#This Row],[entree.nom]]),1)</f>
        <v>0</v>
      </c>
      <c r="AK116" t="str" cm="1">
        <f t="array" ref="AK116">IFERROR(_xlfn.TEXTJOIN(",",TRUE,_xlfn.UNIQUE(_xlfn._xlws.FILTER(suivi['#support.traite_manuel],(suivi[[#This Row],['#support.nom]]&lt;&gt;"")*(suivi['#support.nom]=suivi[[#This Row],['#support.nom]])))),"-")</f>
        <v/>
      </c>
    </row>
    <row r="117" spans="1:37" x14ac:dyDescent="0.25">
      <c r="A117" s="1">
        <v>45688</v>
      </c>
      <c r="B117">
        <f>ROW(suivi[[#This Row],['#support.id]])-ROW(suivi[[#Headers],['#support.saison_en_cours]])</f>
        <v>114</v>
      </c>
      <c r="C117" s="7" t="str">
        <f>IF(suivi[[#This Row],['#support.saison]]=saison_en_cours,1,"")</f>
        <v/>
      </c>
      <c r="D117" t="s">
        <v>7</v>
      </c>
      <c r="G117" s="10">
        <v>1</v>
      </c>
      <c r="J117" s="25"/>
      <c r="K117" s="25"/>
      <c r="P11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7" s="7">
        <f>IF(suivi[[#This Row],['#support.nom]]="","",COUNTIF(suivi['#support.nom],suivi[[#This Row],['#support.nom]]))</f>
        <v>98</v>
      </c>
      <c r="T117" s="1"/>
      <c r="V117" s="4"/>
      <c r="AH117" t="str" cm="1">
        <f t="array" ref="AH117">_xlfn._xlws.FILTER(saisons[nom],(saisons[debut]&lt;=suivi[[#This Row],[date]])*(saisons[fin]&gt;=suivi[[#This Row],[date]]))</f>
        <v>2024-2025</v>
      </c>
      <c r="AI117">
        <f>MIN(COUNTIFS(suivi[entree.categorie],"Evènement",suivi[entree.nom],suivi[[#This Row],[entree.nom]]),1)</f>
        <v>0</v>
      </c>
      <c r="AK117" t="str" cm="1">
        <f t="array" ref="AK117">IFERROR(_xlfn.TEXTJOIN(",",TRUE,_xlfn.UNIQUE(_xlfn._xlws.FILTER(suivi['#support.traite_manuel],(suivi[[#This Row],['#support.nom]]&lt;&gt;"")*(suivi['#support.nom]=suivi[[#This Row],['#support.nom]])))),"-")</f>
        <v/>
      </c>
    </row>
    <row r="118" spans="1:37" x14ac:dyDescent="0.25">
      <c r="A118" s="1">
        <v>45695</v>
      </c>
      <c r="B118">
        <f>ROW(suivi[[#This Row],['#support.id]])-ROW(suivi[[#Headers],['#support.saison_en_cours]])</f>
        <v>115</v>
      </c>
      <c r="C118" s="7" t="str">
        <f>IF(suivi[[#This Row],['#support.saison]]=saison_en_cours,1,"")</f>
        <v/>
      </c>
      <c r="D118" t="s">
        <v>7</v>
      </c>
      <c r="G118" s="10">
        <v>1</v>
      </c>
      <c r="J118" s="25"/>
      <c r="K118" s="25"/>
      <c r="P11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8" s="7">
        <f>IF(suivi[[#This Row],['#support.nom]]="","",COUNTIF(suivi['#support.nom],suivi[[#This Row],['#support.nom]]))</f>
        <v>98</v>
      </c>
      <c r="T118" s="1"/>
      <c r="V118" s="4"/>
      <c r="AH118" t="str" cm="1">
        <f t="array" ref="AH118">_xlfn._xlws.FILTER(saisons[nom],(saisons[debut]&lt;=suivi[[#This Row],[date]])*(saisons[fin]&gt;=suivi[[#This Row],[date]]))</f>
        <v>2024-2025</v>
      </c>
      <c r="AI118">
        <f>MIN(COUNTIFS(suivi[entree.categorie],"Evènement",suivi[entree.nom],suivi[[#This Row],[entree.nom]]),1)</f>
        <v>0</v>
      </c>
      <c r="AK118" t="str" cm="1">
        <f t="array" ref="AK118">IFERROR(_xlfn.TEXTJOIN(",",TRUE,_xlfn.UNIQUE(_xlfn._xlws.FILTER(suivi['#support.traite_manuel],(suivi[[#This Row],['#support.nom]]&lt;&gt;"")*(suivi['#support.nom]=suivi[[#This Row],['#support.nom]])))),"-")</f>
        <v/>
      </c>
    </row>
    <row r="119" spans="1:37" x14ac:dyDescent="0.25">
      <c r="A119" s="1">
        <v>45695</v>
      </c>
      <c r="B119">
        <f>ROW(suivi[[#This Row],['#support.id]])-ROW(suivi[[#Headers],['#support.saison_en_cours]])</f>
        <v>116</v>
      </c>
      <c r="C119" s="7" t="str">
        <f>IF(suivi[[#This Row],['#support.saison]]=saison_en_cours,1,"")</f>
        <v/>
      </c>
      <c r="D119" t="s">
        <v>7</v>
      </c>
      <c r="G119" s="10">
        <v>2</v>
      </c>
      <c r="J119" s="25"/>
      <c r="K119" s="25"/>
      <c r="P11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19" s="7">
        <f>IF(suivi[[#This Row],['#support.nom]]="","",COUNTIF(suivi['#support.nom],suivi[[#This Row],['#support.nom]]))</f>
        <v>30</v>
      </c>
      <c r="T119" s="1"/>
      <c r="V119" s="4"/>
      <c r="AH119" t="str" cm="1">
        <f t="array" ref="AH119">_xlfn._xlws.FILTER(saisons[nom],(saisons[debut]&lt;=suivi[[#This Row],[date]])*(saisons[fin]&gt;=suivi[[#This Row],[date]]))</f>
        <v>2024-2025</v>
      </c>
      <c r="AI119">
        <f>MIN(COUNTIFS(suivi[entree.categorie],"Evènement",suivi[entree.nom],suivi[[#This Row],[entree.nom]]),1)</f>
        <v>0</v>
      </c>
      <c r="AK119" t="str" cm="1">
        <f t="array" ref="AK119">IFERROR(_xlfn.TEXTJOIN(",",TRUE,_xlfn.UNIQUE(_xlfn._xlws.FILTER(suivi['#support.traite_manuel],(suivi[[#This Row],['#support.nom]]&lt;&gt;"")*(suivi['#support.nom]=suivi[[#This Row],['#support.nom]])))),"-")</f>
        <v/>
      </c>
    </row>
    <row r="120" spans="1:37" x14ac:dyDescent="0.25">
      <c r="A120" s="1">
        <v>45702</v>
      </c>
      <c r="B120">
        <f>ROW(suivi[[#This Row],['#support.id]])-ROW(suivi[[#Headers],['#support.saison_en_cours]])</f>
        <v>117</v>
      </c>
      <c r="C120" s="7" t="str">
        <f>IF(suivi[[#This Row],['#support.saison]]=saison_en_cours,1,"")</f>
        <v/>
      </c>
      <c r="D120" t="s">
        <v>7</v>
      </c>
      <c r="G120" s="10">
        <v>2</v>
      </c>
      <c r="J120" s="25"/>
      <c r="K120" s="25"/>
      <c r="P12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20" s="7">
        <f>IF(suivi[[#This Row],['#support.nom]]="","",COUNTIF(suivi['#support.nom],suivi[[#This Row],['#support.nom]]))</f>
        <v>30</v>
      </c>
      <c r="T120" s="1"/>
      <c r="V120" s="4"/>
      <c r="AH120" t="str" cm="1">
        <f t="array" ref="AH120">_xlfn._xlws.FILTER(saisons[nom],(saisons[debut]&lt;=suivi[[#This Row],[date]])*(saisons[fin]&gt;=suivi[[#This Row],[date]]))</f>
        <v>2024-2025</v>
      </c>
      <c r="AI120">
        <f>MIN(COUNTIFS(suivi[entree.categorie],"Evènement",suivi[entree.nom],suivi[[#This Row],[entree.nom]]),1)</f>
        <v>0</v>
      </c>
      <c r="AK120" t="str" cm="1">
        <f t="array" ref="AK120">IFERROR(_xlfn.TEXTJOIN(",",TRUE,_xlfn.UNIQUE(_xlfn._xlws.FILTER(suivi['#support.traite_manuel],(suivi[[#This Row],['#support.nom]]&lt;&gt;"")*(suivi['#support.nom]=suivi[[#This Row],['#support.nom]])))),"-")</f>
        <v/>
      </c>
    </row>
    <row r="121" spans="1:37" x14ac:dyDescent="0.25">
      <c r="A121" s="1">
        <v>45709</v>
      </c>
      <c r="B121">
        <f>ROW(suivi[[#This Row],['#support.id]])-ROW(suivi[[#Headers],['#support.saison_en_cours]])</f>
        <v>118</v>
      </c>
      <c r="C121" s="7" t="str">
        <f>IF(suivi[[#This Row],['#support.saison]]=saison_en_cours,1,"")</f>
        <v/>
      </c>
      <c r="D121" t="s">
        <v>7</v>
      </c>
      <c r="G121" s="10">
        <v>1</v>
      </c>
      <c r="J121" s="25"/>
      <c r="K121" s="25"/>
      <c r="P12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1" s="7">
        <f>IF(suivi[[#This Row],['#support.nom]]="","",COUNTIF(suivi['#support.nom],suivi[[#This Row],['#support.nom]]))</f>
        <v>98</v>
      </c>
      <c r="T121" s="1"/>
      <c r="V121" s="4"/>
      <c r="AH121" t="str" cm="1">
        <f t="array" ref="AH121">_xlfn._xlws.FILTER(saisons[nom],(saisons[debut]&lt;=suivi[[#This Row],[date]])*(saisons[fin]&gt;=suivi[[#This Row],[date]]))</f>
        <v>2024-2025</v>
      </c>
      <c r="AI121">
        <f>MIN(COUNTIFS(suivi[entree.categorie],"Evènement",suivi[entree.nom],suivi[[#This Row],[entree.nom]]),1)</f>
        <v>0</v>
      </c>
      <c r="AK121" t="str" cm="1">
        <f t="array" ref="AK121">IFERROR(_xlfn.TEXTJOIN(",",TRUE,_xlfn.UNIQUE(_xlfn._xlws.FILTER(suivi['#support.traite_manuel],(suivi[[#This Row],['#support.nom]]&lt;&gt;"")*(suivi['#support.nom]=suivi[[#This Row],['#support.nom]])))),"-")</f>
        <v/>
      </c>
    </row>
    <row r="122" spans="1:37" x14ac:dyDescent="0.25">
      <c r="A122" s="1">
        <v>45716</v>
      </c>
      <c r="B122">
        <f>ROW(suivi[[#This Row],['#support.id]])-ROW(suivi[[#Headers],['#support.saison_en_cours]])</f>
        <v>119</v>
      </c>
      <c r="C122" s="7" t="str">
        <f>IF(suivi[[#This Row],['#support.saison]]=saison_en_cours,1,"")</f>
        <v/>
      </c>
      <c r="D122" t="s">
        <v>7</v>
      </c>
      <c r="G122" s="10">
        <v>1</v>
      </c>
      <c r="J122" s="25"/>
      <c r="K122" s="25"/>
      <c r="P12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2" s="7">
        <f>IF(suivi[[#This Row],['#support.nom]]="","",COUNTIF(suivi['#support.nom],suivi[[#This Row],['#support.nom]]))</f>
        <v>98</v>
      </c>
      <c r="T122" s="1"/>
      <c r="V122" s="4"/>
      <c r="AH122" t="str" cm="1">
        <f t="array" ref="AH122">_xlfn._xlws.FILTER(saisons[nom],(saisons[debut]&lt;=suivi[[#This Row],[date]])*(saisons[fin]&gt;=suivi[[#This Row],[date]]))</f>
        <v>2024-2025</v>
      </c>
      <c r="AI122">
        <f>MIN(COUNTIFS(suivi[entree.categorie],"Evènement",suivi[entree.nom],suivi[[#This Row],[entree.nom]]),1)</f>
        <v>0</v>
      </c>
      <c r="AK122" t="str" cm="1">
        <f t="array" ref="AK122">IFERROR(_xlfn.TEXTJOIN(",",TRUE,_xlfn.UNIQUE(_xlfn._xlws.FILTER(suivi['#support.traite_manuel],(suivi[[#This Row],['#support.nom]]&lt;&gt;"")*(suivi['#support.nom]=suivi[[#This Row],['#support.nom]])))),"-")</f>
        <v/>
      </c>
    </row>
    <row r="123" spans="1:37" x14ac:dyDescent="0.25">
      <c r="A123" s="1">
        <v>45723</v>
      </c>
      <c r="B123">
        <f>ROW(suivi[[#This Row],['#support.id]])-ROW(suivi[[#Headers],['#support.saison_en_cours]])</f>
        <v>120</v>
      </c>
      <c r="C123" s="7" t="str">
        <f>IF(suivi[[#This Row],['#support.saison]]=saison_en_cours,1,"")</f>
        <v/>
      </c>
      <c r="D123" t="s">
        <v>7</v>
      </c>
      <c r="G123" s="10">
        <v>1</v>
      </c>
      <c r="J123" s="25"/>
      <c r="K123" s="25"/>
      <c r="P12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3" s="7">
        <f>IF(suivi[[#This Row],['#support.nom]]="","",COUNTIF(suivi['#support.nom],suivi[[#This Row],['#support.nom]]))</f>
        <v>98</v>
      </c>
      <c r="T123" s="1"/>
      <c r="V123" s="4"/>
      <c r="AH123" t="str" cm="1">
        <f t="array" ref="AH123">_xlfn._xlws.FILTER(saisons[nom],(saisons[debut]&lt;=suivi[[#This Row],[date]])*(saisons[fin]&gt;=suivi[[#This Row],[date]]))</f>
        <v>2024-2025</v>
      </c>
      <c r="AI123">
        <f>MIN(COUNTIFS(suivi[entree.categorie],"Evènement",suivi[entree.nom],suivi[[#This Row],[entree.nom]]),1)</f>
        <v>0</v>
      </c>
      <c r="AK123" t="str" cm="1">
        <f t="array" ref="AK123">IFERROR(_xlfn.TEXTJOIN(",",TRUE,_xlfn.UNIQUE(_xlfn._xlws.FILTER(suivi['#support.traite_manuel],(suivi[[#This Row],['#support.nom]]&lt;&gt;"")*(suivi['#support.nom]=suivi[[#This Row],['#support.nom]])))),"-")</f>
        <v/>
      </c>
    </row>
    <row r="124" spans="1:37" x14ac:dyDescent="0.25">
      <c r="A124" s="1">
        <v>45723</v>
      </c>
      <c r="B124">
        <f>ROW(suivi[[#This Row],['#support.id]])-ROW(suivi[[#Headers],['#support.saison_en_cours]])</f>
        <v>121</v>
      </c>
      <c r="C124" s="7" t="str">
        <f>IF(suivi[[#This Row],['#support.saison]]=saison_en_cours,1,"")</f>
        <v/>
      </c>
      <c r="D124" t="s">
        <v>7</v>
      </c>
      <c r="G124" s="10">
        <v>2</v>
      </c>
      <c r="J124" s="25"/>
      <c r="K124" s="25"/>
      <c r="P12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24" s="7">
        <f>IF(suivi[[#This Row],['#support.nom]]="","",COUNTIF(suivi['#support.nom],suivi[[#This Row],['#support.nom]]))</f>
        <v>30</v>
      </c>
      <c r="T124" s="1"/>
      <c r="V124" s="4"/>
      <c r="AH124" t="str" cm="1">
        <f t="array" ref="AH124">_xlfn._xlws.FILTER(saisons[nom],(saisons[debut]&lt;=suivi[[#This Row],[date]])*(saisons[fin]&gt;=suivi[[#This Row],[date]]))</f>
        <v>2024-2025</v>
      </c>
      <c r="AI124">
        <f>MIN(COUNTIFS(suivi[entree.categorie],"Evènement",suivi[entree.nom],suivi[[#This Row],[entree.nom]]),1)</f>
        <v>0</v>
      </c>
      <c r="AK124" t="str" cm="1">
        <f t="array" ref="AK124">IFERROR(_xlfn.TEXTJOIN(",",TRUE,_xlfn.UNIQUE(_xlfn._xlws.FILTER(suivi['#support.traite_manuel],(suivi[[#This Row],['#support.nom]]&lt;&gt;"")*(suivi['#support.nom]=suivi[[#This Row],['#support.nom]])))),"-")</f>
        <v/>
      </c>
    </row>
    <row r="125" spans="1:37" x14ac:dyDescent="0.25">
      <c r="A125" s="1">
        <v>45730</v>
      </c>
      <c r="B125">
        <f>ROW(suivi[[#This Row],['#support.id]])-ROW(suivi[[#Headers],['#support.saison_en_cours]])</f>
        <v>122</v>
      </c>
      <c r="C125" s="7" t="str">
        <f>IF(suivi[[#This Row],['#support.saison]]=saison_en_cours,1,"")</f>
        <v/>
      </c>
      <c r="D125" t="s">
        <v>7</v>
      </c>
      <c r="G125" s="10">
        <v>1</v>
      </c>
      <c r="J125" s="25"/>
      <c r="K125" s="25"/>
      <c r="P12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5" s="7">
        <f>IF(suivi[[#This Row],['#support.nom]]="","",COUNTIF(suivi['#support.nom],suivi[[#This Row],['#support.nom]]))</f>
        <v>98</v>
      </c>
      <c r="T125" s="1"/>
      <c r="V125" s="4"/>
      <c r="AH125" t="str" cm="1">
        <f t="array" ref="AH125">_xlfn._xlws.FILTER(saisons[nom],(saisons[debut]&lt;=suivi[[#This Row],[date]])*(saisons[fin]&gt;=suivi[[#This Row],[date]]))</f>
        <v>2024-2025</v>
      </c>
      <c r="AI125">
        <f>MIN(COUNTIFS(suivi[entree.categorie],"Evènement",suivi[entree.nom],suivi[[#This Row],[entree.nom]]),1)</f>
        <v>0</v>
      </c>
      <c r="AK125" t="str" cm="1">
        <f t="array" ref="AK125">IFERROR(_xlfn.TEXTJOIN(",",TRUE,_xlfn.UNIQUE(_xlfn._xlws.FILTER(suivi['#support.traite_manuel],(suivi[[#This Row],['#support.nom]]&lt;&gt;"")*(suivi['#support.nom]=suivi[[#This Row],['#support.nom]])))),"-")</f>
        <v/>
      </c>
    </row>
    <row r="126" spans="1:37" x14ac:dyDescent="0.25">
      <c r="A126" s="1">
        <v>45737</v>
      </c>
      <c r="B126">
        <f>ROW(suivi[[#This Row],['#support.id]])-ROW(suivi[[#Headers],['#support.saison_en_cours]])</f>
        <v>123</v>
      </c>
      <c r="C126" s="7" t="str">
        <f>IF(suivi[[#This Row],['#support.saison]]=saison_en_cours,1,"")</f>
        <v/>
      </c>
      <c r="D126" t="s">
        <v>7</v>
      </c>
      <c r="E126" t="s">
        <v>682</v>
      </c>
      <c r="G126" s="10">
        <v>1</v>
      </c>
      <c r="J126" s="25"/>
      <c r="K126" s="25"/>
      <c r="P12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6" s="7">
        <f>IF(suivi[[#This Row],['#support.nom]]="","",COUNTIF(suivi['#support.nom],suivi[[#This Row],['#support.nom]]))</f>
        <v>98</v>
      </c>
      <c r="T126" s="1"/>
      <c r="V126" s="4"/>
      <c r="AH126" t="str" cm="1">
        <f t="array" ref="AH126">_xlfn._xlws.FILTER(saisons[nom],(saisons[debut]&lt;=suivi[[#This Row],[date]])*(saisons[fin]&gt;=suivi[[#This Row],[date]]))</f>
        <v>2024-2025</v>
      </c>
      <c r="AI126">
        <f>MIN(COUNTIFS(suivi[entree.categorie],"Evènement",suivi[entree.nom],suivi[[#This Row],[entree.nom]]),1)</f>
        <v>1</v>
      </c>
      <c r="AK126" t="str" cm="1">
        <f t="array" ref="AK126">IFERROR(_xlfn.TEXTJOIN(",",TRUE,_xlfn.UNIQUE(_xlfn._xlws.FILTER(suivi['#support.traite_manuel],(suivi[[#This Row],['#support.nom]]&lt;&gt;"")*(suivi['#support.nom]=suivi[[#This Row],['#support.nom]])))),"-")</f>
        <v/>
      </c>
    </row>
    <row r="127" spans="1:37" x14ac:dyDescent="0.25">
      <c r="A127" s="1">
        <v>45737</v>
      </c>
      <c r="B127">
        <f>ROW(suivi[[#This Row],['#support.id]])-ROW(suivi[[#Headers],['#support.saison_en_cours]])</f>
        <v>124</v>
      </c>
      <c r="C127" s="7" t="str">
        <f>IF(suivi[[#This Row],['#support.saison]]=saison_en_cours,1,"")</f>
        <v/>
      </c>
      <c r="D127" t="s">
        <v>7</v>
      </c>
      <c r="E127" t="s">
        <v>682</v>
      </c>
      <c r="G127" s="10">
        <v>2</v>
      </c>
      <c r="J127" s="25"/>
      <c r="K127" s="25"/>
      <c r="P12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27" s="7">
        <f>IF(suivi[[#This Row],['#support.nom]]="","",COUNTIF(suivi['#support.nom],suivi[[#This Row],['#support.nom]]))</f>
        <v>30</v>
      </c>
      <c r="T127" s="1"/>
      <c r="V127" s="4"/>
      <c r="AH127" t="str" cm="1">
        <f t="array" ref="AH127">_xlfn._xlws.FILTER(saisons[nom],(saisons[debut]&lt;=suivi[[#This Row],[date]])*(saisons[fin]&gt;=suivi[[#This Row],[date]]))</f>
        <v>2024-2025</v>
      </c>
      <c r="AI127">
        <f>MIN(COUNTIFS(suivi[entree.categorie],"Evènement",suivi[entree.nom],suivi[[#This Row],[entree.nom]]),1)</f>
        <v>1</v>
      </c>
      <c r="AK127" t="str" cm="1">
        <f t="array" ref="AK127">IFERROR(_xlfn.TEXTJOIN(",",TRUE,_xlfn.UNIQUE(_xlfn._xlws.FILTER(suivi['#support.traite_manuel],(suivi[[#This Row],['#support.nom]]&lt;&gt;"")*(suivi['#support.nom]=suivi[[#This Row],['#support.nom]])))),"-")</f>
        <v/>
      </c>
    </row>
    <row r="128" spans="1:37" x14ac:dyDescent="0.25">
      <c r="A128" s="1">
        <v>45737</v>
      </c>
      <c r="B128" s="28">
        <f>ROW(suivi[[#This Row],['#support.id]])-ROW(suivi[[#Headers],['#support.saison_en_cours]])</f>
        <v>125</v>
      </c>
      <c r="C128" s="31" t="str">
        <f>IF(suivi[[#This Row],['#support.saison]]=saison_en_cours,1,"")</f>
        <v/>
      </c>
      <c r="D128" t="s">
        <v>0</v>
      </c>
      <c r="E128" t="s">
        <v>682</v>
      </c>
      <c r="G128" s="10"/>
      <c r="J128" s="25"/>
      <c r="K128" s="25"/>
      <c r="P128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Evènement_Soirée Jeux Duo_125</v>
      </c>
      <c r="Q128" s="31">
        <f>IF(suivi[[#This Row],['#support.nom]]="","",COUNTIF(suivi['#support.nom],suivi[[#This Row],['#support.nom]]))</f>
        <v>1</v>
      </c>
      <c r="T128" s="1"/>
      <c r="V128" s="4"/>
      <c r="AH128" s="28" t="str" cm="1">
        <f t="array" ref="AH128">_xlfn._xlws.FILTER(saisons[nom],(saisons[debut]&lt;=suivi[[#This Row],[date]])*(saisons[fin]&gt;=suivi[[#This Row],[date]]))</f>
        <v>2024-2025</v>
      </c>
      <c r="AI128" s="28">
        <f>MIN(COUNTIFS(suivi[entree.categorie],"Evènement",suivi[entree.nom],suivi[[#This Row],[entree.nom]]),1)</f>
        <v>1</v>
      </c>
      <c r="AK128" s="28" t="str" cm="1">
        <f t="array" ref="AK128">IFERROR(_xlfn.TEXTJOIN(",",TRUE,_xlfn.UNIQUE(_xlfn._xlws.FILTER(suivi['#support.traite_manuel],(suivi[[#This Row],['#support.nom]]&lt;&gt;"")*(suivi['#support.nom]=suivi[[#This Row],['#support.nom]])))),"-")</f>
        <v/>
      </c>
    </row>
    <row r="129" spans="1:37" x14ac:dyDescent="0.25">
      <c r="A129" s="1">
        <v>45744</v>
      </c>
      <c r="B129">
        <f>ROW(suivi[[#This Row],['#support.id]])-ROW(suivi[[#Headers],['#support.saison_en_cours]])</f>
        <v>126</v>
      </c>
      <c r="C129" s="7" t="str">
        <f>IF(suivi[[#This Row],['#support.saison]]=saison_en_cours,1,"")</f>
        <v/>
      </c>
      <c r="D129" t="s">
        <v>7</v>
      </c>
      <c r="G129" s="10">
        <v>1</v>
      </c>
      <c r="J129" s="25"/>
      <c r="K129" s="25"/>
      <c r="P12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9" s="7">
        <f>IF(suivi[[#This Row],['#support.nom]]="","",COUNTIF(suivi['#support.nom],suivi[[#This Row],['#support.nom]]))</f>
        <v>98</v>
      </c>
      <c r="T129" s="1"/>
      <c r="V129" s="4"/>
      <c r="AH129" t="str" cm="1">
        <f t="array" ref="AH129">_xlfn._xlws.FILTER(saisons[nom],(saisons[debut]&lt;=suivi[[#This Row],[date]])*(saisons[fin]&gt;=suivi[[#This Row],[date]]))</f>
        <v>2024-2025</v>
      </c>
      <c r="AI129">
        <f>MIN(COUNTIFS(suivi[entree.categorie],"Evènement",suivi[entree.nom],suivi[[#This Row],[entree.nom]]),1)</f>
        <v>0</v>
      </c>
      <c r="AK129" t="str" cm="1">
        <f t="array" ref="AK129">IFERROR(_xlfn.TEXTJOIN(",",TRUE,_xlfn.UNIQUE(_xlfn._xlws.FILTER(suivi['#support.traite_manuel],(suivi[[#This Row],['#support.nom]]&lt;&gt;"")*(suivi['#support.nom]=suivi[[#This Row],['#support.nom]])))),"-")</f>
        <v/>
      </c>
    </row>
    <row r="130" spans="1:37" x14ac:dyDescent="0.25">
      <c r="A130" s="1">
        <v>45744</v>
      </c>
      <c r="B130">
        <f>ROW(suivi[[#This Row],['#support.id]])-ROW(suivi[[#Headers],['#support.saison_en_cours]])</f>
        <v>127</v>
      </c>
      <c r="C130" s="7" t="str">
        <f>IF(suivi[[#This Row],['#support.saison]]=saison_en_cours,1,"")</f>
        <v/>
      </c>
      <c r="D130" t="s">
        <v>7</v>
      </c>
      <c r="G130" s="10">
        <v>2</v>
      </c>
      <c r="J130" s="25"/>
      <c r="K130" s="25"/>
      <c r="P13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30" s="7">
        <f>IF(suivi[[#This Row],['#support.nom]]="","",COUNTIF(suivi['#support.nom],suivi[[#This Row],['#support.nom]]))</f>
        <v>30</v>
      </c>
      <c r="T130" s="1"/>
      <c r="V130" s="4"/>
      <c r="AH130" t="str" cm="1">
        <f t="array" ref="AH130">_xlfn._xlws.FILTER(saisons[nom],(saisons[debut]&lt;=suivi[[#This Row],[date]])*(saisons[fin]&gt;=suivi[[#This Row],[date]]))</f>
        <v>2024-2025</v>
      </c>
      <c r="AI130">
        <f>MIN(COUNTIFS(suivi[entree.categorie],"Evènement",suivi[entree.nom],suivi[[#This Row],[entree.nom]]),1)</f>
        <v>0</v>
      </c>
      <c r="AK130" t="str" cm="1">
        <f t="array" ref="AK130">IFERROR(_xlfn.TEXTJOIN(",",TRUE,_xlfn.UNIQUE(_xlfn._xlws.FILTER(suivi['#support.traite_manuel],(suivi[[#This Row],['#support.nom]]&lt;&gt;"")*(suivi['#support.nom]=suivi[[#This Row],['#support.nom]])))),"-")</f>
        <v/>
      </c>
    </row>
    <row r="131" spans="1:37" x14ac:dyDescent="0.25">
      <c r="A131" s="1">
        <v>45751</v>
      </c>
      <c r="B131">
        <f>ROW(suivi[[#This Row],['#support.id]])-ROW(suivi[[#Headers],['#support.saison_en_cours]])</f>
        <v>128</v>
      </c>
      <c r="C131" s="7" t="str">
        <f>IF(suivi[[#This Row],['#support.saison]]=saison_en_cours,1,"")</f>
        <v/>
      </c>
      <c r="D131" t="s">
        <v>7</v>
      </c>
      <c r="G131" s="10">
        <v>1</v>
      </c>
      <c r="J131" s="25"/>
      <c r="K131" s="25"/>
      <c r="P13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1" s="7">
        <f>IF(suivi[[#This Row],['#support.nom]]="","",COUNTIF(suivi['#support.nom],suivi[[#This Row],['#support.nom]]))</f>
        <v>98</v>
      </c>
      <c r="T131" s="1"/>
      <c r="V131" s="4"/>
      <c r="AH131" t="str" cm="1">
        <f t="array" ref="AH131">_xlfn._xlws.FILTER(saisons[nom],(saisons[debut]&lt;=suivi[[#This Row],[date]])*(saisons[fin]&gt;=suivi[[#This Row],[date]]))</f>
        <v>2024-2025</v>
      </c>
      <c r="AI131">
        <f>MIN(COUNTIFS(suivi[entree.categorie],"Evènement",suivi[entree.nom],suivi[[#This Row],[entree.nom]]),1)</f>
        <v>0</v>
      </c>
      <c r="AK131" t="str" cm="1">
        <f t="array" ref="AK131">IFERROR(_xlfn.TEXTJOIN(",",TRUE,_xlfn.UNIQUE(_xlfn._xlws.FILTER(suivi['#support.traite_manuel],(suivi[[#This Row],['#support.nom]]&lt;&gt;"")*(suivi['#support.nom]=suivi[[#This Row],['#support.nom]])))),"-")</f>
        <v/>
      </c>
    </row>
    <row r="132" spans="1:37" x14ac:dyDescent="0.25">
      <c r="A132" s="1">
        <v>45751</v>
      </c>
      <c r="B132">
        <f>ROW(suivi[[#This Row],['#support.id]])-ROW(suivi[[#Headers],['#support.saison_en_cours]])</f>
        <v>129</v>
      </c>
      <c r="C132" s="7" t="str">
        <f>IF(suivi[[#This Row],['#support.saison]]=saison_en_cours,1,"")</f>
        <v/>
      </c>
      <c r="D132" t="s">
        <v>7</v>
      </c>
      <c r="G132" s="10">
        <v>2</v>
      </c>
      <c r="J132" s="25"/>
      <c r="K132" s="25"/>
      <c r="P13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32" s="7">
        <f>IF(suivi[[#This Row],['#support.nom]]="","",COUNTIF(suivi['#support.nom],suivi[[#This Row],['#support.nom]]))</f>
        <v>30</v>
      </c>
      <c r="T132" s="1"/>
      <c r="V132" s="4"/>
      <c r="AH132" t="str" cm="1">
        <f t="array" ref="AH132">_xlfn._xlws.FILTER(saisons[nom],(saisons[debut]&lt;=suivi[[#This Row],[date]])*(saisons[fin]&gt;=suivi[[#This Row],[date]]))</f>
        <v>2024-2025</v>
      </c>
      <c r="AI132">
        <f>MIN(COUNTIFS(suivi[entree.categorie],"Evènement",suivi[entree.nom],suivi[[#This Row],[entree.nom]]),1)</f>
        <v>0</v>
      </c>
      <c r="AK132" t="str" cm="1">
        <f t="array" ref="AK132">IFERROR(_xlfn.TEXTJOIN(",",TRUE,_xlfn.UNIQUE(_xlfn._xlws.FILTER(suivi['#support.traite_manuel],(suivi[[#This Row],['#support.nom]]&lt;&gt;"")*(suivi['#support.nom]=suivi[[#This Row],['#support.nom]])))),"-")</f>
        <v/>
      </c>
    </row>
    <row r="133" spans="1:37" x14ac:dyDescent="0.25">
      <c r="A133" s="1">
        <v>45758</v>
      </c>
      <c r="B133">
        <f>ROW(suivi[[#This Row],['#support.id]])-ROW(suivi[[#Headers],['#support.saison_en_cours]])</f>
        <v>130</v>
      </c>
      <c r="C133" s="7" t="str">
        <f>IF(suivi[[#This Row],['#support.saison]]=saison_en_cours,1,"")</f>
        <v/>
      </c>
      <c r="D133" t="s">
        <v>7</v>
      </c>
      <c r="G133" s="10">
        <v>1</v>
      </c>
      <c r="J133" s="25"/>
      <c r="K133" s="25"/>
      <c r="P13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3" s="7">
        <f>IF(suivi[[#This Row],['#support.nom]]="","",COUNTIF(suivi['#support.nom],suivi[[#This Row],['#support.nom]]))</f>
        <v>98</v>
      </c>
      <c r="T133" s="1"/>
      <c r="V133" s="4"/>
      <c r="AH133" t="str" cm="1">
        <f t="array" ref="AH133">_xlfn._xlws.FILTER(saisons[nom],(saisons[debut]&lt;=suivi[[#This Row],[date]])*(saisons[fin]&gt;=suivi[[#This Row],[date]]))</f>
        <v>2024-2025</v>
      </c>
      <c r="AI133">
        <f>MIN(COUNTIFS(suivi[entree.categorie],"Evènement",suivi[entree.nom],suivi[[#This Row],[entree.nom]]),1)</f>
        <v>0</v>
      </c>
      <c r="AK133" t="str" cm="1">
        <f t="array" ref="AK133">IFERROR(_xlfn.TEXTJOIN(",",TRUE,_xlfn.UNIQUE(_xlfn._xlws.FILTER(suivi['#support.traite_manuel],(suivi[[#This Row],['#support.nom]]&lt;&gt;"")*(suivi['#support.nom]=suivi[[#This Row],['#support.nom]])))),"-")</f>
        <v/>
      </c>
    </row>
    <row r="134" spans="1:37" x14ac:dyDescent="0.25">
      <c r="A134" s="1">
        <v>45765</v>
      </c>
      <c r="B134">
        <f>ROW(suivi[[#This Row],['#support.id]])-ROW(suivi[[#Headers],['#support.saison_en_cours]])</f>
        <v>131</v>
      </c>
      <c r="C134" s="7" t="str">
        <f>IF(suivi[[#This Row],['#support.saison]]=saison_en_cours,1,"")</f>
        <v/>
      </c>
      <c r="D134" t="s">
        <v>7</v>
      </c>
      <c r="G134" s="10">
        <v>1</v>
      </c>
      <c r="J134" s="25"/>
      <c r="K134" s="25"/>
      <c r="P13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4" s="7">
        <f>IF(suivi[[#This Row],['#support.nom]]="","",COUNTIF(suivi['#support.nom],suivi[[#This Row],['#support.nom]]))</f>
        <v>98</v>
      </c>
      <c r="T134" s="1"/>
      <c r="V134" s="4"/>
      <c r="AH134" t="str" cm="1">
        <f t="array" ref="AH134">_xlfn._xlws.FILTER(saisons[nom],(saisons[debut]&lt;=suivi[[#This Row],[date]])*(saisons[fin]&gt;=suivi[[#This Row],[date]]))</f>
        <v>2024-2025</v>
      </c>
      <c r="AI134">
        <f>MIN(COUNTIFS(suivi[entree.categorie],"Evènement",suivi[entree.nom],suivi[[#This Row],[entree.nom]]),1)</f>
        <v>0</v>
      </c>
      <c r="AK134" t="str" cm="1">
        <f t="array" ref="AK134">IFERROR(_xlfn.TEXTJOIN(",",TRUE,_xlfn.UNIQUE(_xlfn._xlws.FILTER(suivi['#support.traite_manuel],(suivi[[#This Row],['#support.nom]]&lt;&gt;"")*(suivi['#support.nom]=suivi[[#This Row],['#support.nom]])))),"-")</f>
        <v/>
      </c>
    </row>
    <row r="135" spans="1:37" x14ac:dyDescent="0.25">
      <c r="A135" s="1">
        <v>45772</v>
      </c>
      <c r="B135">
        <f>ROW(suivi[[#This Row],['#support.id]])-ROW(suivi[[#Headers],['#support.saison_en_cours]])</f>
        <v>132</v>
      </c>
      <c r="C135" s="7" t="str">
        <f>IF(suivi[[#This Row],['#support.saison]]=saison_en_cours,1,"")</f>
        <v/>
      </c>
      <c r="D135" t="s">
        <v>7</v>
      </c>
      <c r="G135" s="10">
        <v>1</v>
      </c>
      <c r="J135" s="25"/>
      <c r="K135" s="25"/>
      <c r="P13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5" s="7">
        <f>IF(suivi[[#This Row],['#support.nom]]="","",COUNTIF(suivi['#support.nom],suivi[[#This Row],['#support.nom]]))</f>
        <v>98</v>
      </c>
      <c r="T135" s="1"/>
      <c r="V135" s="4"/>
      <c r="AH135" t="str" cm="1">
        <f t="array" ref="AH135">_xlfn._xlws.FILTER(saisons[nom],(saisons[debut]&lt;=suivi[[#This Row],[date]])*(saisons[fin]&gt;=suivi[[#This Row],[date]]))</f>
        <v>2024-2025</v>
      </c>
      <c r="AI135">
        <f>MIN(COUNTIFS(suivi[entree.categorie],"Evènement",suivi[entree.nom],suivi[[#This Row],[entree.nom]]),1)</f>
        <v>0</v>
      </c>
      <c r="AK135" t="str" cm="1">
        <f t="array" ref="AK135">IFERROR(_xlfn.TEXTJOIN(",",TRUE,_xlfn.UNIQUE(_xlfn._xlws.FILTER(suivi['#support.traite_manuel],(suivi[[#This Row],['#support.nom]]&lt;&gt;"")*(suivi['#support.nom]=suivi[[#This Row],['#support.nom]])))),"-")</f>
        <v/>
      </c>
    </row>
    <row r="136" spans="1:37" x14ac:dyDescent="0.25">
      <c r="A136" s="1">
        <v>45779</v>
      </c>
      <c r="B136">
        <f>ROW(suivi[[#This Row],['#support.id]])-ROW(suivi[[#Headers],['#support.saison_en_cours]])</f>
        <v>133</v>
      </c>
      <c r="C136" s="7" t="str">
        <f>IF(suivi[[#This Row],['#support.saison]]=saison_en_cours,1,"")</f>
        <v/>
      </c>
      <c r="D136" t="s">
        <v>7</v>
      </c>
      <c r="G136" s="10">
        <v>1</v>
      </c>
      <c r="J136" s="25"/>
      <c r="K136" s="25"/>
      <c r="P1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6" s="7">
        <f>IF(suivi[[#This Row],['#support.nom]]="","",COUNTIF(suivi['#support.nom],suivi[[#This Row],['#support.nom]]))</f>
        <v>98</v>
      </c>
      <c r="T136" s="1"/>
      <c r="V136" s="4"/>
      <c r="AH136" t="str" cm="1">
        <f t="array" ref="AH136">_xlfn._xlws.FILTER(saisons[nom],(saisons[debut]&lt;=suivi[[#This Row],[date]])*(saisons[fin]&gt;=suivi[[#This Row],[date]]))</f>
        <v>2024-2025</v>
      </c>
      <c r="AI136">
        <f>MIN(COUNTIFS(suivi[entree.categorie],"Evènement",suivi[entree.nom],suivi[[#This Row],[entree.nom]]),1)</f>
        <v>0</v>
      </c>
      <c r="AK136" t="str" cm="1">
        <f t="array" ref="AK136">IFERROR(_xlfn.TEXTJOIN(",",TRUE,_xlfn.UNIQUE(_xlfn._xlws.FILTER(suivi['#support.traite_manuel],(suivi[[#This Row],['#support.nom]]&lt;&gt;"")*(suivi['#support.nom]=suivi[[#This Row],['#support.nom]])))),"-")</f>
        <v/>
      </c>
    </row>
    <row r="137" spans="1:37" x14ac:dyDescent="0.25">
      <c r="A137" s="1">
        <v>45786</v>
      </c>
      <c r="B137">
        <f>ROW(suivi[[#This Row],['#support.id]])-ROW(suivi[[#Headers],['#support.saison_en_cours]])</f>
        <v>134</v>
      </c>
      <c r="C137" s="7" t="str">
        <f>IF(suivi[[#This Row],['#support.saison]]=saison_en_cours,1,"")</f>
        <v/>
      </c>
      <c r="D137" t="s">
        <v>7</v>
      </c>
      <c r="G137" s="10">
        <v>1</v>
      </c>
      <c r="J137" s="25"/>
      <c r="K137" s="25"/>
      <c r="P13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7" s="7">
        <f>IF(suivi[[#This Row],['#support.nom]]="","",COUNTIF(suivi['#support.nom],suivi[[#This Row],['#support.nom]]))</f>
        <v>98</v>
      </c>
      <c r="T137" s="1"/>
      <c r="V137" s="4"/>
      <c r="AH137" t="str" cm="1">
        <f t="array" ref="AH137">_xlfn._xlws.FILTER(saisons[nom],(saisons[debut]&lt;=suivi[[#This Row],[date]])*(saisons[fin]&gt;=suivi[[#This Row],[date]]))</f>
        <v>2024-2025</v>
      </c>
      <c r="AI137">
        <f>MIN(COUNTIFS(suivi[entree.categorie],"Evènement",suivi[entree.nom],suivi[[#This Row],[entree.nom]]),1)</f>
        <v>0</v>
      </c>
      <c r="AK137" t="str" cm="1">
        <f t="array" ref="AK137">IFERROR(_xlfn.TEXTJOIN(",",TRUE,_xlfn.UNIQUE(_xlfn._xlws.FILTER(suivi['#support.traite_manuel],(suivi[[#This Row],['#support.nom]]&lt;&gt;"")*(suivi['#support.nom]=suivi[[#This Row],['#support.nom]])))),"-")</f>
        <v/>
      </c>
    </row>
    <row r="138" spans="1:37" x14ac:dyDescent="0.25">
      <c r="A138" s="1">
        <v>45793</v>
      </c>
      <c r="B138">
        <f>ROW(suivi[[#This Row],['#support.id]])-ROW(suivi[[#Headers],['#support.saison_en_cours]])</f>
        <v>135</v>
      </c>
      <c r="C138" s="7" t="str">
        <f>IF(suivi[[#This Row],['#support.saison]]=saison_en_cours,1,"")</f>
        <v/>
      </c>
      <c r="D138" t="s">
        <v>7</v>
      </c>
      <c r="G138" s="10">
        <v>1</v>
      </c>
      <c r="J138" s="25"/>
      <c r="K138" s="25"/>
      <c r="P13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8" s="7">
        <f>IF(suivi[[#This Row],['#support.nom]]="","",COUNTIF(suivi['#support.nom],suivi[[#This Row],['#support.nom]]))</f>
        <v>98</v>
      </c>
      <c r="T138" s="1"/>
      <c r="V138" s="4"/>
      <c r="AH138" t="str" cm="1">
        <f t="array" ref="AH138">_xlfn._xlws.FILTER(saisons[nom],(saisons[debut]&lt;=suivi[[#This Row],[date]])*(saisons[fin]&gt;=suivi[[#This Row],[date]]))</f>
        <v>2024-2025</v>
      </c>
      <c r="AI138">
        <f>MIN(COUNTIFS(suivi[entree.categorie],"Evènement",suivi[entree.nom],suivi[[#This Row],[entree.nom]]),1)</f>
        <v>0</v>
      </c>
      <c r="AK138" t="str" cm="1">
        <f t="array" ref="AK138">IFERROR(_xlfn.TEXTJOIN(",",TRUE,_xlfn.UNIQUE(_xlfn._xlws.FILTER(suivi['#support.traite_manuel],(suivi[[#This Row],['#support.nom]]&lt;&gt;"")*(suivi['#support.nom]=suivi[[#This Row],['#support.nom]])))),"-")</f>
        <v/>
      </c>
    </row>
    <row r="139" spans="1:37" x14ac:dyDescent="0.25">
      <c r="A139" s="1">
        <v>45793</v>
      </c>
      <c r="B139">
        <f>ROW(suivi[[#This Row],['#support.id]])-ROW(suivi[[#Headers],['#support.saison_en_cours]])</f>
        <v>136</v>
      </c>
      <c r="C139" s="7" t="str">
        <f>IF(suivi[[#This Row],['#support.saison]]=saison_en_cours,1,"")</f>
        <v/>
      </c>
      <c r="D139" t="s">
        <v>7</v>
      </c>
      <c r="G139" s="10">
        <v>2</v>
      </c>
      <c r="J139" s="25"/>
      <c r="K139" s="25"/>
      <c r="P13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39" s="7">
        <f>IF(suivi[[#This Row],['#support.nom]]="","",COUNTIF(suivi['#support.nom],suivi[[#This Row],['#support.nom]]))</f>
        <v>30</v>
      </c>
      <c r="T139" s="1"/>
      <c r="V139" s="4"/>
      <c r="AH139" t="str" cm="1">
        <f t="array" ref="AH139">_xlfn._xlws.FILTER(saisons[nom],(saisons[debut]&lt;=suivi[[#This Row],[date]])*(saisons[fin]&gt;=suivi[[#This Row],[date]]))</f>
        <v>2024-2025</v>
      </c>
      <c r="AI139">
        <f>MIN(COUNTIFS(suivi[entree.categorie],"Evènement",suivi[entree.nom],suivi[[#This Row],[entree.nom]]),1)</f>
        <v>0</v>
      </c>
      <c r="AK139" t="str" cm="1">
        <f t="array" ref="AK139">IFERROR(_xlfn.TEXTJOIN(",",TRUE,_xlfn.UNIQUE(_xlfn._xlws.FILTER(suivi['#support.traite_manuel],(suivi[[#This Row],['#support.nom]]&lt;&gt;"")*(suivi['#support.nom]=suivi[[#This Row],['#support.nom]])))),"-")</f>
        <v/>
      </c>
    </row>
    <row r="140" spans="1:37" x14ac:dyDescent="0.25">
      <c r="A140" s="1">
        <v>45807</v>
      </c>
      <c r="B140">
        <f>ROW(suivi[[#This Row],['#support.id]])-ROW(suivi[[#Headers],['#support.saison_en_cours]])</f>
        <v>137</v>
      </c>
      <c r="C140" s="7" t="str">
        <f>IF(suivi[[#This Row],['#support.saison]]=saison_en_cours,1,"")</f>
        <v/>
      </c>
      <c r="D140" t="s">
        <v>7</v>
      </c>
      <c r="G140" s="10">
        <v>1</v>
      </c>
      <c r="J140" s="25"/>
      <c r="K140" s="25"/>
      <c r="P14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0" s="7">
        <f>IF(suivi[[#This Row],['#support.nom]]="","",COUNTIF(suivi['#support.nom],suivi[[#This Row],['#support.nom]]))</f>
        <v>98</v>
      </c>
      <c r="T140" s="1"/>
      <c r="V140" s="4"/>
      <c r="AH140" t="str" cm="1">
        <f t="array" ref="AH140">_xlfn._xlws.FILTER(saisons[nom],(saisons[debut]&lt;=suivi[[#This Row],[date]])*(saisons[fin]&gt;=suivi[[#This Row],[date]]))</f>
        <v>2024-2025</v>
      </c>
      <c r="AI140">
        <f>MIN(COUNTIFS(suivi[entree.categorie],"Evènement",suivi[entree.nom],suivi[[#This Row],[entree.nom]]),1)</f>
        <v>0</v>
      </c>
      <c r="AK140" t="str" cm="1">
        <f t="array" ref="AK140">IFERROR(_xlfn.TEXTJOIN(",",TRUE,_xlfn.UNIQUE(_xlfn._xlws.FILTER(suivi['#support.traite_manuel],(suivi[[#This Row],['#support.nom]]&lt;&gt;"")*(suivi['#support.nom]=suivi[[#This Row],['#support.nom]])))),"-")</f>
        <v/>
      </c>
    </row>
    <row r="141" spans="1:37" x14ac:dyDescent="0.25">
      <c r="A141" s="1">
        <v>45807</v>
      </c>
      <c r="B141">
        <f>ROW(suivi[[#This Row],['#support.id]])-ROW(suivi[[#Headers],['#support.saison_en_cours]])</f>
        <v>138</v>
      </c>
      <c r="C141" s="7" t="str">
        <f>IF(suivi[[#This Row],['#support.saison]]=saison_en_cours,1,"")</f>
        <v/>
      </c>
      <c r="D141" t="s">
        <v>7</v>
      </c>
      <c r="G141" s="10">
        <v>2</v>
      </c>
      <c r="J141" s="25"/>
      <c r="K141" s="25"/>
      <c r="P14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41" s="7">
        <f>IF(suivi[[#This Row],['#support.nom]]="","",COUNTIF(suivi['#support.nom],suivi[[#This Row],['#support.nom]]))</f>
        <v>30</v>
      </c>
      <c r="T141" s="1"/>
      <c r="V141" s="4"/>
      <c r="AH141" t="str" cm="1">
        <f t="array" ref="AH141">_xlfn._xlws.FILTER(saisons[nom],(saisons[debut]&lt;=suivi[[#This Row],[date]])*(saisons[fin]&gt;=suivi[[#This Row],[date]]))</f>
        <v>2024-2025</v>
      </c>
      <c r="AI141">
        <f>MIN(COUNTIFS(suivi[entree.categorie],"Evènement",suivi[entree.nom],suivi[[#This Row],[entree.nom]]),1)</f>
        <v>0</v>
      </c>
      <c r="AK141" t="str" cm="1">
        <f t="array" ref="AK141">IFERROR(_xlfn.TEXTJOIN(",",TRUE,_xlfn.UNIQUE(_xlfn._xlws.FILTER(suivi['#support.traite_manuel],(suivi[[#This Row],['#support.nom]]&lt;&gt;"")*(suivi['#support.nom]=suivi[[#This Row],['#support.nom]])))),"-")</f>
        <v/>
      </c>
    </row>
    <row r="142" spans="1:37" x14ac:dyDescent="0.25">
      <c r="A142" s="1">
        <v>45814</v>
      </c>
      <c r="B142">
        <f>ROW(suivi[[#This Row],['#support.id]])-ROW(suivi[[#Headers],['#support.saison_en_cours]])</f>
        <v>139</v>
      </c>
      <c r="C142" s="7" t="str">
        <f>IF(suivi[[#This Row],['#support.saison]]=saison_en_cours,1,"")</f>
        <v/>
      </c>
      <c r="D142" t="s">
        <v>7</v>
      </c>
      <c r="G142" s="10">
        <v>1</v>
      </c>
      <c r="J142" s="25"/>
      <c r="K142" s="25"/>
      <c r="P14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2" s="7">
        <f>IF(suivi[[#This Row],['#support.nom]]="","",COUNTIF(suivi['#support.nom],suivi[[#This Row],['#support.nom]]))</f>
        <v>98</v>
      </c>
      <c r="T142" s="1"/>
      <c r="V142" s="4"/>
      <c r="AH142" t="str" cm="1">
        <f t="array" ref="AH142">_xlfn._xlws.FILTER(saisons[nom],(saisons[debut]&lt;=suivi[[#This Row],[date]])*(saisons[fin]&gt;=suivi[[#This Row],[date]]))</f>
        <v>2024-2025</v>
      </c>
      <c r="AI142">
        <f>MIN(COUNTIFS(suivi[entree.categorie],"Evènement",suivi[entree.nom],suivi[[#This Row],[entree.nom]]),1)</f>
        <v>0</v>
      </c>
      <c r="AK142" t="str" cm="1">
        <f t="array" ref="AK142">IFERROR(_xlfn.TEXTJOIN(",",TRUE,_xlfn.UNIQUE(_xlfn._xlws.FILTER(suivi['#support.traite_manuel],(suivi[[#This Row],['#support.nom]]&lt;&gt;"")*(suivi['#support.nom]=suivi[[#This Row],['#support.nom]])))),"-")</f>
        <v/>
      </c>
    </row>
    <row r="143" spans="1:37" x14ac:dyDescent="0.25">
      <c r="A143" s="1">
        <v>45821</v>
      </c>
      <c r="B143">
        <f>ROW(suivi[[#This Row],['#support.id]])-ROW(suivi[[#Headers],['#support.saison_en_cours]])</f>
        <v>140</v>
      </c>
      <c r="C143" s="7" t="str">
        <f>IF(suivi[[#This Row],['#support.saison]]=saison_en_cours,1,"")</f>
        <v/>
      </c>
      <c r="D143" t="s">
        <v>7</v>
      </c>
      <c r="G143" s="10">
        <v>1</v>
      </c>
      <c r="J143" s="25"/>
      <c r="K143" s="25"/>
      <c r="P14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3" s="7">
        <f>IF(suivi[[#This Row],['#support.nom]]="","",COUNTIF(suivi['#support.nom],suivi[[#This Row],['#support.nom]]))</f>
        <v>98</v>
      </c>
      <c r="T143" s="1"/>
      <c r="V143" s="4"/>
      <c r="AH143" t="str" cm="1">
        <f t="array" ref="AH143">_xlfn._xlws.FILTER(saisons[nom],(saisons[debut]&lt;=suivi[[#This Row],[date]])*(saisons[fin]&gt;=suivi[[#This Row],[date]]))</f>
        <v>2024-2025</v>
      </c>
      <c r="AI143">
        <f>MIN(COUNTIFS(suivi[entree.categorie],"Evènement",suivi[entree.nom],suivi[[#This Row],[entree.nom]]),1)</f>
        <v>0</v>
      </c>
      <c r="AK143" t="str" cm="1">
        <f t="array" ref="AK143">IFERROR(_xlfn.TEXTJOIN(",",TRUE,_xlfn.UNIQUE(_xlfn._xlws.FILTER(suivi['#support.traite_manuel],(suivi[[#This Row],['#support.nom]]&lt;&gt;"")*(suivi['#support.nom]=suivi[[#This Row],['#support.nom]])))),"-")</f>
        <v/>
      </c>
    </row>
    <row r="144" spans="1:37" x14ac:dyDescent="0.25">
      <c r="A144" s="1">
        <v>45828</v>
      </c>
      <c r="B144">
        <f>ROW(suivi[[#This Row],['#support.id]])-ROW(suivi[[#Headers],['#support.saison_en_cours]])</f>
        <v>141</v>
      </c>
      <c r="C144" s="7" t="str">
        <f>IF(suivi[[#This Row],['#support.saison]]=saison_en_cours,1,"")</f>
        <v/>
      </c>
      <c r="D144" t="s">
        <v>7</v>
      </c>
      <c r="G144" s="10">
        <v>1</v>
      </c>
      <c r="J144" s="25"/>
      <c r="K144" s="25"/>
      <c r="P14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4" s="7">
        <f>IF(suivi[[#This Row],['#support.nom]]="","",COUNTIF(suivi['#support.nom],suivi[[#This Row],['#support.nom]]))</f>
        <v>98</v>
      </c>
      <c r="T144" s="1"/>
      <c r="V144" s="4"/>
      <c r="AH144" t="str" cm="1">
        <f t="array" ref="AH144">_xlfn._xlws.FILTER(saisons[nom],(saisons[debut]&lt;=suivi[[#This Row],[date]])*(saisons[fin]&gt;=suivi[[#This Row],[date]]))</f>
        <v>2024-2025</v>
      </c>
      <c r="AI144">
        <f>MIN(COUNTIFS(suivi[entree.categorie],"Evènement",suivi[entree.nom],suivi[[#This Row],[entree.nom]]),1)</f>
        <v>0</v>
      </c>
      <c r="AK144" t="str" cm="1">
        <f t="array" ref="AK144">IFERROR(_xlfn.TEXTJOIN(",",TRUE,_xlfn.UNIQUE(_xlfn._xlws.FILTER(suivi['#support.traite_manuel],(suivi[[#This Row],['#support.nom]]&lt;&gt;"")*(suivi['#support.nom]=suivi[[#This Row],['#support.nom]])))),"-")</f>
        <v/>
      </c>
    </row>
    <row r="145" spans="1:37" x14ac:dyDescent="0.25">
      <c r="A145" s="1">
        <v>45835</v>
      </c>
      <c r="B145">
        <f>ROW(suivi[[#This Row],['#support.id]])-ROW(suivi[[#Headers],['#support.saison_en_cours]])</f>
        <v>142</v>
      </c>
      <c r="C145" s="7" t="str">
        <f>IF(suivi[[#This Row],['#support.saison]]=saison_en_cours,1,"")</f>
        <v/>
      </c>
      <c r="D145" t="s">
        <v>7</v>
      </c>
      <c r="E145" t="s">
        <v>683</v>
      </c>
      <c r="F145" t="s">
        <v>684</v>
      </c>
      <c r="G145" s="10">
        <v>1</v>
      </c>
      <c r="J145" s="25"/>
      <c r="K145" s="25"/>
      <c r="P14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5" s="7">
        <f>IF(suivi[[#This Row],['#support.nom]]="","",COUNTIF(suivi['#support.nom],suivi[[#This Row],['#support.nom]]))</f>
        <v>98</v>
      </c>
      <c r="T145" s="1"/>
      <c r="V145" s="4"/>
      <c r="AH145" t="str" cm="1">
        <f t="array" ref="AH145">_xlfn._xlws.FILTER(saisons[nom],(saisons[debut]&lt;=suivi[[#This Row],[date]])*(saisons[fin]&gt;=suivi[[#This Row],[date]]))</f>
        <v>2024-2025</v>
      </c>
      <c r="AI145">
        <f>MIN(COUNTIFS(suivi[entree.categorie],"Evènement",suivi[entree.nom],suivi[[#This Row],[entree.nom]]),1)</f>
        <v>1</v>
      </c>
      <c r="AK145" t="str" cm="1">
        <f t="array" ref="AK145">IFERROR(_xlfn.TEXTJOIN(",",TRUE,_xlfn.UNIQUE(_xlfn._xlws.FILTER(suivi['#support.traite_manuel],(suivi[[#This Row],['#support.nom]]&lt;&gt;"")*(suivi['#support.nom]=suivi[[#This Row],['#support.nom]])))),"-")</f>
        <v/>
      </c>
    </row>
    <row r="146" spans="1:37" x14ac:dyDescent="0.25">
      <c r="A146" s="1">
        <v>45835</v>
      </c>
      <c r="B146">
        <f>ROW(suivi[[#This Row],['#support.id]])-ROW(suivi[[#Headers],['#support.saison_en_cours]])</f>
        <v>143</v>
      </c>
      <c r="C146" s="7" t="str">
        <f>IF(suivi[[#This Row],['#support.saison]]=saison_en_cours,1,"")</f>
        <v/>
      </c>
      <c r="D146" t="s">
        <v>0</v>
      </c>
      <c r="E146" t="s">
        <v>683</v>
      </c>
      <c r="F146" t="s">
        <v>689</v>
      </c>
      <c r="G146" s="10">
        <v>2</v>
      </c>
      <c r="J146" s="25"/>
      <c r="K146" s="25"/>
      <c r="P14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46" s="7">
        <f>IF(suivi[[#This Row],['#support.nom]]="","",COUNTIF(suivi['#support.nom],suivi[[#This Row],['#support.nom]]))</f>
        <v>30</v>
      </c>
      <c r="T146" s="1"/>
      <c r="V146" s="4"/>
      <c r="AH146" t="str" cm="1">
        <f t="array" ref="AH146">_xlfn._xlws.FILTER(saisons[nom],(saisons[debut]&lt;=suivi[[#This Row],[date]])*(saisons[fin]&gt;=suivi[[#This Row],[date]]))</f>
        <v>2024-2025</v>
      </c>
      <c r="AI146">
        <f>MIN(COUNTIFS(suivi[entree.categorie],"Evènement",suivi[entree.nom],suivi[[#This Row],[entree.nom]]),1)</f>
        <v>1</v>
      </c>
      <c r="AK146" t="str" cm="1">
        <f t="array" ref="AK146">IFERROR(_xlfn.TEXTJOIN(",",TRUE,_xlfn.UNIQUE(_xlfn._xlws.FILTER(suivi['#support.traite_manuel],(suivi[[#This Row],['#support.nom]]&lt;&gt;"")*(suivi['#support.nom]=suivi[[#This Row],['#support.nom]])))),"-")</f>
        <v/>
      </c>
    </row>
    <row r="147" spans="1:37" x14ac:dyDescent="0.25">
      <c r="A147" s="1">
        <v>45835</v>
      </c>
      <c r="B147" s="28">
        <f>ROW(suivi[[#This Row],['#support.id]])-ROW(suivi[[#Headers],['#support.saison_en_cours]])</f>
        <v>144</v>
      </c>
      <c r="C147" s="31" t="str">
        <f>IF(suivi[[#This Row],['#support.saison]]=saison_en_cours,1,"")</f>
        <v/>
      </c>
      <c r="D147" t="s">
        <v>0</v>
      </c>
      <c r="E147" t="s">
        <v>683</v>
      </c>
      <c r="G147" s="10"/>
      <c r="J147" s="25"/>
      <c r="K147" s="25"/>
      <c r="P147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Evènement_Assemblée Générale 2025_144</v>
      </c>
      <c r="Q147" s="31">
        <f>IF(suivi[[#This Row],['#support.nom]]="","",COUNTIF(suivi['#support.nom],suivi[[#This Row],['#support.nom]]))</f>
        <v>1</v>
      </c>
      <c r="T147" s="1"/>
      <c r="V147" s="4"/>
      <c r="AH147" s="28" t="str" cm="1">
        <f t="array" ref="AH147">_xlfn._xlws.FILTER(saisons[nom],(saisons[debut]&lt;=suivi[[#This Row],[date]])*(saisons[fin]&gt;=suivi[[#This Row],[date]]))</f>
        <v>2024-2025</v>
      </c>
      <c r="AI147" s="28">
        <f>MIN(COUNTIFS(suivi[entree.categorie],"Evènement",suivi[entree.nom],suivi[[#This Row],[entree.nom]]),1)</f>
        <v>1</v>
      </c>
      <c r="AK147" s="28" t="str" cm="1">
        <f t="array" ref="AK147">IFERROR(_xlfn.TEXTJOIN(",",TRUE,_xlfn.UNIQUE(_xlfn._xlws.FILTER(suivi['#support.traite_manuel],(suivi[[#This Row],['#support.nom]]&lt;&gt;"")*(suivi['#support.nom]=suivi[[#This Row],['#support.nom]])))),"-")</f>
        <v/>
      </c>
    </row>
    <row r="148" spans="1:37" x14ac:dyDescent="0.25">
      <c r="A148" s="1">
        <v>45835</v>
      </c>
      <c r="B148" s="28">
        <f>ROW(suivi[[#This Row],['#support.id]])-ROW(suivi[[#Headers],['#support.saison_en_cours]])</f>
        <v>145</v>
      </c>
      <c r="C148" s="31" t="str">
        <f>IF(suivi[[#This Row],['#support.saison]]=saison_en_cours,1,"")</f>
        <v/>
      </c>
      <c r="D148" t="s">
        <v>0</v>
      </c>
      <c r="E148" t="s">
        <v>683</v>
      </c>
      <c r="F148" t="s">
        <v>708</v>
      </c>
      <c r="G148" s="10"/>
      <c r="I148" t="s">
        <v>438</v>
      </c>
      <c r="J148" s="25"/>
      <c r="K148" s="25">
        <v>-20.52</v>
      </c>
      <c r="P148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Evènement_Assemblée Générale 2025_Achat pour pot - Fabien_145</v>
      </c>
      <c r="Q148" s="31">
        <f>IF(suivi[[#This Row],['#support.nom]]="","",COUNTIF(suivi['#support.nom],suivi[[#This Row],['#support.nom]]))</f>
        <v>1</v>
      </c>
      <c r="T148" s="1"/>
      <c r="V148" s="4"/>
      <c r="AH148" s="28" t="str" cm="1">
        <f t="array" ref="AH148">_xlfn._xlws.FILTER(saisons[nom],(saisons[debut]&lt;=suivi[[#This Row],[date]])*(saisons[fin]&gt;=suivi[[#This Row],[date]]))</f>
        <v>2024-2025</v>
      </c>
      <c r="AI148" s="28">
        <f>MIN(COUNTIFS(suivi[entree.categorie],"Evènement",suivi[entree.nom],suivi[[#This Row],[entree.nom]]),1)</f>
        <v>1</v>
      </c>
      <c r="AK148" s="28" t="str" cm="1">
        <f t="array" ref="AK148">IFERROR(_xlfn.TEXTJOIN(",",TRUE,_xlfn.UNIQUE(_xlfn._xlws.FILTER(suivi['#support.traite_manuel],(suivi[[#This Row],['#support.nom]]&lt;&gt;"")*(suivi['#support.nom]=suivi[[#This Row],['#support.nom]])))),"-")</f>
        <v/>
      </c>
    </row>
    <row r="149" spans="1:37" x14ac:dyDescent="0.25">
      <c r="A149" s="1">
        <v>45835</v>
      </c>
      <c r="B149" s="28">
        <f>ROW(suivi[[#This Row],['#support.id]])-ROW(suivi[[#Headers],['#support.saison_en_cours]])</f>
        <v>146</v>
      </c>
      <c r="C149" s="31" t="str">
        <f>IF(suivi[[#This Row],['#support.saison]]=saison_en_cours,1,"")</f>
        <v/>
      </c>
      <c r="D149" t="s">
        <v>0</v>
      </c>
      <c r="E149" t="s">
        <v>683</v>
      </c>
      <c r="F149" t="s">
        <v>709</v>
      </c>
      <c r="G149" s="10"/>
      <c r="I149" t="s">
        <v>438</v>
      </c>
      <c r="J149" s="25"/>
      <c r="K149" s="25">
        <v>-69.539999999999992</v>
      </c>
      <c r="P149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Evènement_Assemblée Générale 2025_Achat pour pot - Nicolas_146</v>
      </c>
      <c r="Q149" s="31">
        <f>IF(suivi[[#This Row],['#support.nom]]="","",COUNTIF(suivi['#support.nom],suivi[[#This Row],['#support.nom]]))</f>
        <v>1</v>
      </c>
      <c r="T149" s="1"/>
      <c r="V149" s="4"/>
      <c r="AH149" s="28" t="str" cm="1">
        <f t="array" ref="AH149">_xlfn._xlws.FILTER(saisons[nom],(saisons[debut]&lt;=suivi[[#This Row],[date]])*(saisons[fin]&gt;=suivi[[#This Row],[date]]))</f>
        <v>2024-2025</v>
      </c>
      <c r="AI149" s="28">
        <f>MIN(COUNTIFS(suivi[entree.categorie],"Evènement",suivi[entree.nom],suivi[[#This Row],[entree.nom]]),1)</f>
        <v>1</v>
      </c>
      <c r="AK149" s="28" t="str" cm="1">
        <f t="array" ref="AK149">IFERROR(_xlfn.TEXTJOIN(",",TRUE,_xlfn.UNIQUE(_xlfn._xlws.FILTER(suivi['#support.traite_manuel],(suivi[[#This Row],['#support.nom]]&lt;&gt;"")*(suivi['#support.nom]=suivi[[#This Row],['#support.nom]])))),"-")</f>
        <v/>
      </c>
    </row>
    <row r="150" spans="1:37" x14ac:dyDescent="0.25">
      <c r="A150" s="1">
        <v>45842</v>
      </c>
      <c r="B150">
        <f>ROW(suivi[[#This Row],['#support.id]])-ROW(suivi[[#Headers],['#support.saison_en_cours]])</f>
        <v>147</v>
      </c>
      <c r="C150" s="7" t="str">
        <f>IF(suivi[[#This Row],['#support.saison]]=saison_en_cours,1,"")</f>
        <v/>
      </c>
      <c r="D150" t="s">
        <v>7</v>
      </c>
      <c r="G150" s="10">
        <v>2</v>
      </c>
      <c r="J150" s="25"/>
      <c r="K150" s="25"/>
      <c r="P15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50" s="7">
        <f>IF(suivi[[#This Row],['#support.nom]]="","",COUNTIF(suivi['#support.nom],suivi[[#This Row],['#support.nom]]))</f>
        <v>30</v>
      </c>
      <c r="T150" s="1"/>
      <c r="V150" s="4"/>
      <c r="AH150" t="str" cm="1">
        <f t="array" ref="AH150">_xlfn._xlws.FILTER(saisons[nom],(saisons[debut]&lt;=suivi[[#This Row],[date]])*(saisons[fin]&gt;=suivi[[#This Row],[date]]))</f>
        <v>2024-2025</v>
      </c>
      <c r="AI150">
        <f>MIN(COUNTIFS(suivi[entree.categorie],"Evènement",suivi[entree.nom],suivi[[#This Row],[entree.nom]]),1)</f>
        <v>0</v>
      </c>
      <c r="AK150" t="str" cm="1">
        <f t="array" ref="AK150">IFERROR(_xlfn.TEXTJOIN(",",TRUE,_xlfn.UNIQUE(_xlfn._xlws.FILTER(suivi['#support.traite_manuel],(suivi[[#This Row],['#support.nom]]&lt;&gt;"")*(suivi['#support.nom]=suivi[[#This Row],['#support.nom]])))),"-")</f>
        <v/>
      </c>
    </row>
    <row r="151" spans="1:37" x14ac:dyDescent="0.25">
      <c r="A151" s="1">
        <v>45901</v>
      </c>
      <c r="B151">
        <f>ROW(suivi[[#This Row],['#support.id]])-ROW(suivi[[#Headers],['#support.saison_en_cours]])</f>
        <v>148</v>
      </c>
      <c r="C151" s="7">
        <f>IF(suivi[[#This Row],['#support.saison]]=saison_en_cours,1,"")</f>
        <v>1</v>
      </c>
      <c r="D151" t="s">
        <v>441</v>
      </c>
      <c r="G151" s="10">
        <v>1</v>
      </c>
      <c r="H151" t="s">
        <v>214</v>
      </c>
      <c r="J151" s="25"/>
      <c r="K151" s="25"/>
      <c r="O151" t="s">
        <v>691</v>
      </c>
      <c r="P15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1" s="7">
        <f>IF(suivi[[#This Row],['#support.nom]]="","",COUNTIF(suivi['#support.nom],suivi[[#This Row],['#support.nom]]))</f>
        <v>98</v>
      </c>
      <c r="T151" s="1"/>
      <c r="V151" s="4"/>
      <c r="AH151" t="str" cm="1">
        <f t="array" ref="AH151">_xlfn._xlws.FILTER(saisons[nom],(saisons[debut]&lt;=suivi[[#This Row],[date]])*(saisons[fin]&gt;=suivi[[#This Row],[date]]))</f>
        <v>2025-2026</v>
      </c>
      <c r="AI151">
        <f>MIN(COUNTIFS(suivi[entree.categorie],"Evènement",suivi[entree.nom],suivi[[#This Row],[entree.nom]]),1)</f>
        <v>0</v>
      </c>
      <c r="AK151" t="str" cm="1">
        <f t="array" ref="AK151">IFERROR(_xlfn.TEXTJOIN(",",TRUE,_xlfn.UNIQUE(_xlfn._xlws.FILTER(suivi['#support.traite_manuel],(suivi[[#This Row],['#support.nom]]&lt;&gt;"")*(suivi['#support.nom]=suivi[[#This Row],['#support.nom]])))),"-")</f>
        <v/>
      </c>
    </row>
    <row r="152" spans="1:37" x14ac:dyDescent="0.25">
      <c r="A152" s="1">
        <v>45905</v>
      </c>
      <c r="B152">
        <f>ROW(suivi[[#This Row],['#support.id]])-ROW(suivi[[#Headers],['#support.saison_en_cours]])</f>
        <v>149</v>
      </c>
      <c r="C152" s="7">
        <f>IF(suivi[[#This Row],['#support.saison]]=saison_en_cours,1,"")</f>
        <v>1</v>
      </c>
      <c r="D152" t="s">
        <v>7</v>
      </c>
      <c r="G152" s="10">
        <v>1</v>
      </c>
      <c r="J152" s="25"/>
      <c r="K152" s="25"/>
      <c r="P15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2" s="7">
        <f>IF(suivi[[#This Row],['#support.nom]]="","",COUNTIF(suivi['#support.nom],suivi[[#This Row],['#support.nom]]))</f>
        <v>98</v>
      </c>
      <c r="T152" s="1"/>
      <c r="V152" s="4"/>
      <c r="AH152" t="str" cm="1">
        <f t="array" ref="AH152">_xlfn._xlws.FILTER(saisons[nom],(saisons[debut]&lt;=suivi[[#This Row],[date]])*(saisons[fin]&gt;=suivi[[#This Row],[date]]))</f>
        <v>2025-2026</v>
      </c>
      <c r="AI152">
        <f>MIN(COUNTIFS(suivi[entree.categorie],"Evènement",suivi[entree.nom],suivi[[#This Row],[entree.nom]]),1)</f>
        <v>0</v>
      </c>
      <c r="AK152" t="str" cm="1">
        <f t="array" ref="AK152">IFERROR(_xlfn.TEXTJOIN(",",TRUE,_xlfn.UNIQUE(_xlfn._xlws.FILTER(suivi['#support.traite_manuel],(suivi[[#This Row],['#support.nom]]&lt;&gt;"")*(suivi['#support.nom]=suivi[[#This Row],['#support.nom]])))),"-")</f>
        <v/>
      </c>
    </row>
    <row r="153" spans="1:37" x14ac:dyDescent="0.25">
      <c r="A153" s="1">
        <v>45905</v>
      </c>
      <c r="B153">
        <f>ROW(suivi[[#This Row],['#support.id]])-ROW(suivi[[#Headers],['#support.saison_en_cours]])</f>
        <v>150</v>
      </c>
      <c r="C153" s="7">
        <f>IF(suivi[[#This Row],['#support.saison]]=saison_en_cours,1,"")</f>
        <v>1</v>
      </c>
      <c r="D153" t="s">
        <v>6</v>
      </c>
      <c r="E153" t="s">
        <v>478</v>
      </c>
      <c r="G153" s="10">
        <v>2</v>
      </c>
      <c r="I153" t="s">
        <v>438</v>
      </c>
      <c r="J153" s="25">
        <v>15</v>
      </c>
      <c r="K153" s="25"/>
      <c r="M153" t="s">
        <v>613</v>
      </c>
      <c r="P15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53" s="7">
        <f>IF(suivi[[#This Row],['#support.nom]]="","",COUNTIF(suivi['#support.nom],suivi[[#This Row],['#support.nom]]))</f>
        <v>30</v>
      </c>
      <c r="T153" s="1"/>
      <c r="V153" s="4"/>
      <c r="AH153" t="str" cm="1">
        <f t="array" ref="AH153">_xlfn._xlws.FILTER(saisons[nom],(saisons[debut]&lt;=suivi[[#This Row],[date]])*(saisons[fin]&gt;=suivi[[#This Row],[date]]))</f>
        <v>2025-2026</v>
      </c>
      <c r="AI153">
        <f>MIN(COUNTIFS(suivi[entree.categorie],"Evènement",suivi[entree.nom],suivi[[#This Row],[entree.nom]]),1)</f>
        <v>0</v>
      </c>
      <c r="AK153" t="str" cm="1">
        <f t="array" ref="AK153">IFERROR(_xlfn.TEXTJOIN(",",TRUE,_xlfn.UNIQUE(_xlfn._xlws.FILTER(suivi['#support.traite_manuel],(suivi[[#This Row],['#support.nom]]&lt;&gt;"")*(suivi['#support.nom]=suivi[[#This Row],['#support.nom]])))),"-")</f>
        <v/>
      </c>
    </row>
    <row r="154" spans="1:37" x14ac:dyDescent="0.25">
      <c r="A154" s="1">
        <v>45905</v>
      </c>
      <c r="B154">
        <f>ROW(suivi[[#This Row],['#support.id]])-ROW(suivi[[#Headers],['#support.saison_en_cours]])</f>
        <v>151</v>
      </c>
      <c r="C154" s="7">
        <f>IF(suivi[[#This Row],['#support.saison]]=saison_en_cours,1,"")</f>
        <v>1</v>
      </c>
      <c r="D154" t="s">
        <v>7</v>
      </c>
      <c r="G154" s="10">
        <v>2</v>
      </c>
      <c r="J154" s="25"/>
      <c r="K154" s="25"/>
      <c r="P15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54" s="7">
        <f>IF(suivi[[#This Row],['#support.nom]]="","",COUNTIF(suivi['#support.nom],suivi[[#This Row],['#support.nom]]))</f>
        <v>30</v>
      </c>
      <c r="T154" s="1"/>
      <c r="V154" s="4"/>
      <c r="AH154" t="str" cm="1">
        <f t="array" ref="AH154">_xlfn._xlws.FILTER(saisons[nom],(saisons[debut]&lt;=suivi[[#This Row],[date]])*(saisons[fin]&gt;=suivi[[#This Row],[date]]))</f>
        <v>2025-2026</v>
      </c>
      <c r="AI154">
        <f>MIN(COUNTIFS(suivi[entree.categorie],"Evènement",suivi[entree.nom],suivi[[#This Row],[entree.nom]]),1)</f>
        <v>0</v>
      </c>
      <c r="AK154" t="str" cm="1">
        <f t="array" ref="AK154">IFERROR(_xlfn.TEXTJOIN(",",TRUE,_xlfn.UNIQUE(_xlfn._xlws.FILTER(suivi['#support.traite_manuel],(suivi[[#This Row],['#support.nom]]&lt;&gt;"")*(suivi['#support.nom]=suivi[[#This Row],['#support.nom]])))),"-")</f>
        <v/>
      </c>
    </row>
    <row r="155" spans="1:37" x14ac:dyDescent="0.25">
      <c r="A155" s="1">
        <v>45907</v>
      </c>
      <c r="B155" s="28">
        <f>ROW(suivi[[#This Row],['#support.id]])-ROW(suivi[[#Headers],['#support.saison_en_cours]])</f>
        <v>152</v>
      </c>
      <c r="C155" s="31">
        <f>IF(suivi[[#This Row],['#support.saison]]=saison_en_cours,1,"")</f>
        <v>1</v>
      </c>
      <c r="D155" t="s">
        <v>0</v>
      </c>
      <c r="E155" t="s">
        <v>710</v>
      </c>
      <c r="G155" s="10"/>
      <c r="J155" s="25"/>
      <c r="K155" s="25"/>
      <c r="P155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2025_152</v>
      </c>
      <c r="Q155" s="31">
        <f>IF(suivi[[#This Row],['#support.nom]]="","",COUNTIF(suivi['#support.nom],suivi[[#This Row],['#support.nom]]))</f>
        <v>1</v>
      </c>
      <c r="T155" s="1"/>
      <c r="V155" s="4"/>
      <c r="AH155" s="28" t="str" cm="1">
        <f t="array" ref="AH155">_xlfn._xlws.FILTER(saisons[nom],(saisons[debut]&lt;=suivi[[#This Row],[date]])*(saisons[fin]&gt;=suivi[[#This Row],[date]]))</f>
        <v>2025-2026</v>
      </c>
      <c r="AI155" s="28">
        <f>MIN(COUNTIFS(suivi[entree.categorie],"Evènement",suivi[entree.nom],suivi[[#This Row],[entree.nom]]),1)</f>
        <v>1</v>
      </c>
      <c r="AK155" s="28" t="str" cm="1">
        <f t="array" ref="AK155">IFERROR(_xlfn.TEXTJOIN(",",TRUE,_xlfn.UNIQUE(_xlfn._xlws.FILTER(suivi['#support.traite_manuel],(suivi[[#This Row],['#support.nom]]&lt;&gt;"")*(suivi['#support.nom]=suivi[[#This Row],['#support.nom]])))),"-")</f>
        <v/>
      </c>
    </row>
    <row r="156" spans="1:37" x14ac:dyDescent="0.25">
      <c r="A156" s="1">
        <v>45912</v>
      </c>
      <c r="B156">
        <f>ROW(suivi[[#This Row],['#support.id]])-ROW(suivi[[#Headers],['#support.saison_en_cours]])</f>
        <v>153</v>
      </c>
      <c r="C156" s="7">
        <f>IF(suivi[[#This Row],['#support.saison]]=saison_en_cours,1,"")</f>
        <v>1</v>
      </c>
      <c r="D156" t="s">
        <v>7</v>
      </c>
      <c r="G156" s="10">
        <v>1</v>
      </c>
      <c r="J156" s="25"/>
      <c r="K156" s="25"/>
      <c r="P15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6" s="7">
        <f>IF(suivi[[#This Row],['#support.nom]]="","",COUNTIF(suivi['#support.nom],suivi[[#This Row],['#support.nom]]))</f>
        <v>98</v>
      </c>
      <c r="T156" s="1"/>
      <c r="V156" s="4"/>
      <c r="AH156" t="str" cm="1">
        <f t="array" ref="AH156">_xlfn._xlws.FILTER(saisons[nom],(saisons[debut]&lt;=suivi[[#This Row],[date]])*(saisons[fin]&gt;=suivi[[#This Row],[date]]))</f>
        <v>2025-2026</v>
      </c>
      <c r="AI156">
        <f>MIN(COUNTIFS(suivi[entree.categorie],"Evènement",suivi[entree.nom],suivi[[#This Row],[entree.nom]]),1)</f>
        <v>0</v>
      </c>
      <c r="AK156" t="str" cm="1">
        <f t="array" ref="AK156">IFERROR(_xlfn.TEXTJOIN(",",TRUE,_xlfn.UNIQUE(_xlfn._xlws.FILTER(suivi['#support.traite_manuel],(suivi[[#This Row],['#support.nom]]&lt;&gt;"")*(suivi['#support.nom]=suivi[[#This Row],['#support.nom]])))),"-")</f>
        <v/>
      </c>
    </row>
    <row r="157" spans="1:37" x14ac:dyDescent="0.25">
      <c r="A157" s="29">
        <v>45913</v>
      </c>
      <c r="B157" s="36">
        <f>ROW(suivi[[#This Row],['#support.id]])-ROW(suivi[[#Headers],['#support.saison_en_cours]])</f>
        <v>154</v>
      </c>
      <c r="C157" s="39">
        <f>IF(suivi[[#This Row],['#support.saison]]=saison_en_cours,1,"")</f>
        <v>1</v>
      </c>
      <c r="D157" s="32" t="s">
        <v>6</v>
      </c>
      <c r="E157" s="32" t="s">
        <v>478</v>
      </c>
      <c r="F157" s="32"/>
      <c r="G157" s="33">
        <v>1</v>
      </c>
      <c r="H157" s="32"/>
      <c r="I157" s="32" t="s">
        <v>5</v>
      </c>
      <c r="J157" s="41">
        <v>15</v>
      </c>
      <c r="K157" s="41"/>
      <c r="L157" s="32"/>
      <c r="M157" t="s">
        <v>613</v>
      </c>
      <c r="N157" t="s">
        <v>693</v>
      </c>
      <c r="P157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7" s="39">
        <f>IF(suivi[[#This Row],['#support.nom]]="","",COUNTIF(suivi['#support.nom],suivi[[#This Row],['#support.nom]]))</f>
        <v>98</v>
      </c>
      <c r="T157" s="29"/>
      <c r="V157" s="30"/>
      <c r="AH157" s="36" t="str" cm="1">
        <f t="array" ref="AH157">_xlfn._xlws.FILTER(saisons[nom],(saisons[debut]&lt;=suivi[[#This Row],[date]])*(saisons[fin]&gt;=suivi[[#This Row],[date]]))</f>
        <v>2025-2026</v>
      </c>
      <c r="AI157" s="36">
        <f>MIN(COUNTIFS(suivi[entree.categorie],"Evènement",suivi[entree.nom],suivi[[#This Row],[entree.nom]]),1)</f>
        <v>0</v>
      </c>
      <c r="AK157" s="36" t="str" cm="1">
        <f t="array" ref="AK157">IFERROR(_xlfn.TEXTJOIN(",",TRUE,_xlfn.UNIQUE(_xlfn._xlws.FILTER(suivi['#support.traite_manuel],(suivi[[#This Row],['#support.nom]]&lt;&gt;"")*(suivi['#support.nom]=suivi[[#This Row],['#support.nom]])))),"-")</f>
        <v/>
      </c>
    </row>
    <row r="158" spans="1:37" x14ac:dyDescent="0.25">
      <c r="A158" s="29">
        <v>45919</v>
      </c>
      <c r="B158" s="36">
        <f>ROW(suivi[[#This Row],['#support.id]])-ROW(suivi[[#Headers],['#support.saison_en_cours]])</f>
        <v>155</v>
      </c>
      <c r="C158" s="39">
        <f>IF(suivi[[#This Row],['#support.saison]]=saison_en_cours,1,"")</f>
        <v>1</v>
      </c>
      <c r="D158" s="32" t="s">
        <v>7</v>
      </c>
      <c r="E158" s="32"/>
      <c r="F158" s="32"/>
      <c r="G158" s="33">
        <v>1</v>
      </c>
      <c r="H158" s="32"/>
      <c r="I158" s="32"/>
      <c r="J158" s="41"/>
      <c r="K158" s="41"/>
      <c r="L158" s="32"/>
      <c r="P158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8" s="39">
        <f>IF(suivi[[#This Row],['#support.nom]]="","",COUNTIF(suivi['#support.nom],suivi[[#This Row],['#support.nom]]))</f>
        <v>98</v>
      </c>
      <c r="T158" s="29"/>
      <c r="V158" s="30"/>
      <c r="AH158" s="36" t="str" cm="1">
        <f t="array" ref="AH158">_xlfn._xlws.FILTER(saisons[nom],(saisons[debut]&lt;=suivi[[#This Row],[date]])*(saisons[fin]&gt;=suivi[[#This Row],[date]]))</f>
        <v>2025-2026</v>
      </c>
      <c r="AI158" s="36">
        <f>MIN(COUNTIFS(suivi[entree.categorie],"Evènement",suivi[entree.nom],suivi[[#This Row],[entree.nom]]),1)</f>
        <v>0</v>
      </c>
      <c r="AK158" s="36" t="str" cm="1">
        <f t="array" ref="AK158">IFERROR(_xlfn.TEXTJOIN(",",TRUE,_xlfn.UNIQUE(_xlfn._xlws.FILTER(suivi['#support.traite_manuel],(suivi[[#This Row],['#support.nom]]&lt;&gt;"")*(suivi['#support.nom]=suivi[[#This Row],['#support.nom]])))),"-")</f>
        <v/>
      </c>
    </row>
    <row r="159" spans="1:37" x14ac:dyDescent="0.25">
      <c r="A159" s="29">
        <v>45919</v>
      </c>
      <c r="B159" s="36">
        <f>ROW(suivi[[#This Row],['#support.id]])-ROW(suivi[[#Headers],['#support.saison_en_cours]])</f>
        <v>156</v>
      </c>
      <c r="C159" s="39">
        <f>IF(suivi[[#This Row],['#support.saison]]=saison_en_cours,1,"")</f>
        <v>1</v>
      </c>
      <c r="D159" s="32" t="s">
        <v>7</v>
      </c>
      <c r="E159" s="32"/>
      <c r="F159" s="32"/>
      <c r="G159" s="33">
        <v>2</v>
      </c>
      <c r="H159" s="32"/>
      <c r="I159" s="32"/>
      <c r="J159" s="41"/>
      <c r="K159" s="41"/>
      <c r="L159" s="32"/>
      <c r="P159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59" s="39">
        <f>IF(suivi[[#This Row],['#support.nom]]="","",COUNTIF(suivi['#support.nom],suivi[[#This Row],['#support.nom]]))</f>
        <v>30</v>
      </c>
      <c r="T159" s="29"/>
      <c r="V159" s="30"/>
      <c r="AH159" s="36" t="str" cm="1">
        <f t="array" ref="AH159">_xlfn._xlws.FILTER(saisons[nom],(saisons[debut]&lt;=suivi[[#This Row],[date]])*(saisons[fin]&gt;=suivi[[#This Row],[date]]))</f>
        <v>2025-2026</v>
      </c>
      <c r="AI159" s="36">
        <f>MIN(COUNTIFS(suivi[entree.categorie],"Evènement",suivi[entree.nom],suivi[[#This Row],[entree.nom]]),1)</f>
        <v>0</v>
      </c>
      <c r="AK159" s="36" t="str" cm="1">
        <f t="array" ref="AK159">IFERROR(_xlfn.TEXTJOIN(",",TRUE,_xlfn.UNIQUE(_xlfn._xlws.FILTER(suivi['#support.traite_manuel],(suivi[[#This Row],['#support.nom]]&lt;&gt;"")*(suivi['#support.nom]=suivi[[#This Row],['#support.nom]])))),"-")</f>
        <v/>
      </c>
    </row>
    <row r="160" spans="1:37" x14ac:dyDescent="0.25">
      <c r="A160" s="29">
        <v>45921</v>
      </c>
      <c r="B160" s="36">
        <f>ROW(suivi[[#This Row],['#support.id]])-ROW(suivi[[#Headers],['#support.saison_en_cours]])</f>
        <v>157</v>
      </c>
      <c r="C160" s="39">
        <f>IF(suivi[[#This Row],['#support.saison]]=saison_en_cours,1,"")</f>
        <v>1</v>
      </c>
      <c r="D160" s="32" t="s">
        <v>441</v>
      </c>
      <c r="E160" s="32"/>
      <c r="F160" s="32"/>
      <c r="G160" s="33">
        <v>4</v>
      </c>
      <c r="H160" s="32" t="s">
        <v>661</v>
      </c>
      <c r="I160" s="32"/>
      <c r="J160" s="41"/>
      <c r="K160" s="41"/>
      <c r="L160" s="32"/>
      <c r="O160" t="s">
        <v>691</v>
      </c>
      <c r="P160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[discord] VbrBot</v>
      </c>
      <c r="Q160" s="39">
        <f>IF(suivi[[#This Row],['#support.nom]]="","",COUNTIF(suivi['#support.nom],suivi[[#This Row],['#support.nom]]))</f>
        <v>1</v>
      </c>
      <c r="T160" s="29"/>
      <c r="V160" s="30"/>
      <c r="AC160" t="s">
        <v>575</v>
      </c>
      <c r="AH160" s="36" t="str" cm="1">
        <f t="array" ref="AH160">_xlfn._xlws.FILTER(saisons[nom],(saisons[debut]&lt;=suivi[[#This Row],[date]])*(saisons[fin]&gt;=suivi[[#This Row],[date]]))</f>
        <v>2025-2026</v>
      </c>
      <c r="AI160" s="36">
        <f>MIN(COUNTIFS(suivi[entree.categorie],"Evènement",suivi[entree.nom],suivi[[#This Row],[entree.nom]]),1)</f>
        <v>0</v>
      </c>
      <c r="AK160" s="36" t="str" cm="1">
        <f t="array" ref="AK160">IFERROR(_xlfn.TEXTJOIN(",",TRUE,_xlfn.UNIQUE(_xlfn._xlws.FILTER(suivi['#support.traite_manuel],(suivi[[#This Row],['#support.nom]]&lt;&gt;"")*(suivi['#support.nom]=suivi[[#This Row],['#support.nom]])))),"-")</f>
        <v/>
      </c>
    </row>
    <row r="161" spans="1:37" x14ac:dyDescent="0.25">
      <c r="A161" s="29">
        <v>45926</v>
      </c>
      <c r="B161" s="36">
        <f>ROW(suivi[[#This Row],['#support.id]])-ROW(suivi[[#Headers],['#support.saison_en_cours]])</f>
        <v>158</v>
      </c>
      <c r="C161" s="39">
        <f>IF(suivi[[#This Row],['#support.saison]]=saison_en_cours,1,"")</f>
        <v>1</v>
      </c>
      <c r="D161" s="32" t="s">
        <v>7</v>
      </c>
      <c r="E161" s="32"/>
      <c r="F161" s="32"/>
      <c r="G161" s="33">
        <v>1</v>
      </c>
      <c r="H161" s="32"/>
      <c r="I161" s="32"/>
      <c r="J161" s="41"/>
      <c r="K161" s="41"/>
      <c r="L161" s="32"/>
      <c r="P161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1" s="39">
        <f>IF(suivi[[#This Row],['#support.nom]]="","",COUNTIF(suivi['#support.nom],suivi[[#This Row],['#support.nom]]))</f>
        <v>98</v>
      </c>
      <c r="T161" s="29"/>
      <c r="V161" s="30"/>
      <c r="AH161" s="36" t="str" cm="1">
        <f t="array" ref="AH161">_xlfn._xlws.FILTER(saisons[nom],(saisons[debut]&lt;=suivi[[#This Row],[date]])*(saisons[fin]&gt;=suivi[[#This Row],[date]]))</f>
        <v>2025-2026</v>
      </c>
      <c r="AI161" s="36">
        <f>MIN(COUNTIFS(suivi[entree.categorie],"Evènement",suivi[entree.nom],suivi[[#This Row],[entree.nom]]),1)</f>
        <v>0</v>
      </c>
      <c r="AK161" s="36" t="str" cm="1">
        <f t="array" ref="AK161">IFERROR(_xlfn.TEXTJOIN(",",TRUE,_xlfn.UNIQUE(_xlfn._xlws.FILTER(suivi['#support.traite_manuel],(suivi[[#This Row],['#support.nom]]&lt;&gt;"")*(suivi['#support.nom]=suivi[[#This Row],['#support.nom]])))),"-")</f>
        <v/>
      </c>
    </row>
    <row r="162" spans="1:37" x14ac:dyDescent="0.25">
      <c r="A162" s="29">
        <v>45933</v>
      </c>
      <c r="B162" s="36">
        <f>ROW(suivi[[#This Row],['#support.id]])-ROW(suivi[[#Headers],['#support.saison_en_cours]])</f>
        <v>159</v>
      </c>
      <c r="C162" s="39">
        <f>IF(suivi[[#This Row],['#support.saison]]=saison_en_cours,1,"")</f>
        <v>1</v>
      </c>
      <c r="D162" s="32" t="s">
        <v>7</v>
      </c>
      <c r="E162" s="32"/>
      <c r="F162" s="32"/>
      <c r="G162" s="33">
        <v>1</v>
      </c>
      <c r="H162" s="32"/>
      <c r="I162" s="32"/>
      <c r="J162" s="41"/>
      <c r="K162" s="41"/>
      <c r="L162" s="32"/>
      <c r="P162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2" s="39">
        <f>IF(suivi[[#This Row],['#support.nom]]="","",COUNTIF(suivi['#support.nom],suivi[[#This Row],['#support.nom]]))</f>
        <v>98</v>
      </c>
      <c r="T162" s="29"/>
      <c r="V162" s="30"/>
      <c r="AH162" s="36" t="str" cm="1">
        <f t="array" ref="AH162">_xlfn._xlws.FILTER(saisons[nom],(saisons[debut]&lt;=suivi[[#This Row],[date]])*(saisons[fin]&gt;=suivi[[#This Row],[date]]))</f>
        <v>2025-2026</v>
      </c>
      <c r="AI162" s="36">
        <f>MIN(COUNTIFS(suivi[entree.categorie],"Evènement",suivi[entree.nom],suivi[[#This Row],[entree.nom]]),1)</f>
        <v>0</v>
      </c>
      <c r="AK162" s="36" t="str" cm="1">
        <f t="array" ref="AK162">IFERROR(_xlfn.TEXTJOIN(",",TRUE,_xlfn.UNIQUE(_xlfn._xlws.FILTER(suivi['#support.traite_manuel],(suivi[[#This Row],['#support.nom]]&lt;&gt;"")*(suivi['#support.nom]=suivi[[#This Row],['#support.nom]])))),"-")</f>
        <v/>
      </c>
    </row>
    <row r="163" spans="1:37" x14ac:dyDescent="0.25">
      <c r="A163" s="29">
        <v>45940</v>
      </c>
      <c r="B163" s="36">
        <f>ROW(suivi[[#This Row],['#support.id]])-ROW(suivi[[#Headers],['#support.saison_en_cours]])</f>
        <v>160</v>
      </c>
      <c r="C163" s="39">
        <f>IF(suivi[[#This Row],['#support.saison]]=saison_en_cours,1,"")</f>
        <v>1</v>
      </c>
      <c r="D163" s="32" t="s">
        <v>7</v>
      </c>
      <c r="E163" s="32"/>
      <c r="F163" s="32"/>
      <c r="G163" s="33">
        <v>1</v>
      </c>
      <c r="H163" s="32"/>
      <c r="I163" s="32"/>
      <c r="J163" s="41"/>
      <c r="K163" s="41"/>
      <c r="L163" s="32"/>
      <c r="P163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3" s="39">
        <f>IF(suivi[[#This Row],['#support.nom]]="","",COUNTIF(suivi['#support.nom],suivi[[#This Row],['#support.nom]]))</f>
        <v>98</v>
      </c>
      <c r="T163" s="29"/>
      <c r="V163" s="30"/>
      <c r="AH163" s="36" t="str" cm="1">
        <f t="array" ref="AH163">_xlfn._xlws.FILTER(saisons[nom],(saisons[debut]&lt;=suivi[[#This Row],[date]])*(saisons[fin]&gt;=suivi[[#This Row],[date]]))</f>
        <v>2025-2026</v>
      </c>
      <c r="AI163" s="36">
        <f>MIN(COUNTIFS(suivi[entree.categorie],"Evènement",suivi[entree.nom],suivi[[#This Row],[entree.nom]]),1)</f>
        <v>0</v>
      </c>
      <c r="AK163" s="36" t="str" cm="1">
        <f t="array" ref="AK163">IFERROR(_xlfn.TEXTJOIN(",",TRUE,_xlfn.UNIQUE(_xlfn._xlws.FILTER(suivi['#support.traite_manuel],(suivi[[#This Row],['#support.nom]]&lt;&gt;"")*(suivi['#support.nom]=suivi[[#This Row],['#support.nom]])))),"-")</f>
        <v/>
      </c>
    </row>
    <row r="164" spans="1:37" x14ac:dyDescent="0.25">
      <c r="A164" s="29">
        <v>45940</v>
      </c>
      <c r="B164" s="36">
        <f>ROW(suivi[[#This Row],['#support.id]])-ROW(suivi[[#Headers],['#support.saison_en_cours]])</f>
        <v>161</v>
      </c>
      <c r="C164" s="39">
        <f>IF(suivi[[#This Row],['#support.saison]]=saison_en_cours,1,"")</f>
        <v>1</v>
      </c>
      <c r="D164" s="32" t="s">
        <v>7</v>
      </c>
      <c r="E164" s="32"/>
      <c r="F164" s="32"/>
      <c r="G164" s="33">
        <v>2</v>
      </c>
      <c r="H164" s="32"/>
      <c r="I164" s="32"/>
      <c r="J164" s="41"/>
      <c r="K164" s="41"/>
      <c r="L164" s="32"/>
      <c r="P164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64" s="39">
        <f>IF(suivi[[#This Row],['#support.nom]]="","",COUNTIF(suivi['#support.nom],suivi[[#This Row],['#support.nom]]))</f>
        <v>30</v>
      </c>
      <c r="T164" s="29"/>
      <c r="V164" s="30"/>
      <c r="AH164" s="36" t="str" cm="1">
        <f t="array" ref="AH164">_xlfn._xlws.FILTER(saisons[nom],(saisons[debut]&lt;=suivi[[#This Row],[date]])*(saisons[fin]&gt;=suivi[[#This Row],[date]]))</f>
        <v>2025-2026</v>
      </c>
      <c r="AI164" s="36">
        <f>MIN(COUNTIFS(suivi[entree.categorie],"Evènement",suivi[entree.nom],suivi[[#This Row],[entree.nom]]),1)</f>
        <v>0</v>
      </c>
      <c r="AK164" s="36" t="str" cm="1">
        <f t="array" ref="AK164">IFERROR(_xlfn.TEXTJOIN(",",TRUE,_xlfn.UNIQUE(_xlfn._xlws.FILTER(suivi['#support.traite_manuel],(suivi[[#This Row],['#support.nom]]&lt;&gt;"")*(suivi['#support.nom]=suivi[[#This Row],['#support.nom]])))),"-")</f>
        <v/>
      </c>
    </row>
    <row r="165" spans="1:37" x14ac:dyDescent="0.25">
      <c r="A165" s="34">
        <v>45947</v>
      </c>
      <c r="B165" s="36">
        <f>ROW(suivi[[#This Row],['#support.id]])-ROW(suivi[[#Headers],['#support.saison_en_cours]])</f>
        <v>162</v>
      </c>
      <c r="C165" s="39">
        <f>IF(suivi[[#This Row],['#support.saison]]=saison_en_cours,1,"")</f>
        <v>1</v>
      </c>
      <c r="D165" s="36" t="s">
        <v>7</v>
      </c>
      <c r="E165" s="36"/>
      <c r="F165" s="36"/>
      <c r="G165" s="40">
        <v>1</v>
      </c>
      <c r="H165" s="36"/>
      <c r="I165" s="36"/>
      <c r="J165" s="41"/>
      <c r="K165" s="41"/>
      <c r="L165" s="36"/>
      <c r="M165" s="36"/>
      <c r="N165" s="36"/>
      <c r="O165" s="36"/>
      <c r="P165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5" s="39">
        <f>IF(suivi[[#This Row],['#support.nom]]="","",COUNTIF(suivi['#support.nom],suivi[[#This Row],['#support.nom]]))</f>
        <v>98</v>
      </c>
      <c r="T165" s="34"/>
      <c r="V165" s="35"/>
      <c r="AH165" s="36" t="str" cm="1">
        <f t="array" ref="AH165">_xlfn._xlws.FILTER(saisons[nom],(saisons[debut]&lt;=suivi[[#This Row],[date]])*(saisons[fin]&gt;=suivi[[#This Row],[date]]))</f>
        <v>2025-2026</v>
      </c>
      <c r="AI165" s="36">
        <f>MIN(COUNTIFS(suivi[entree.categorie],"Evènement",suivi[entree.nom],suivi[[#This Row],[entree.nom]]),1)</f>
        <v>0</v>
      </c>
      <c r="AK165" s="36" t="str" cm="1">
        <f t="array" ref="AK165">IFERROR(_xlfn.TEXTJOIN(",",TRUE,_xlfn.UNIQUE(_xlfn._xlws.FILTER(suivi['#support.traite_manuel],(suivi[[#This Row],['#support.nom]]&lt;&gt;"")*(suivi['#support.nom]=suivi[[#This Row],['#support.nom]])))),"-")</f>
        <v/>
      </c>
    </row>
    <row r="166" spans="1:37" x14ac:dyDescent="0.25">
      <c r="A166" s="34">
        <v>45947</v>
      </c>
      <c r="B166" s="36">
        <f>ROW(suivi[[#This Row],['#support.id]])-ROW(suivi[[#Headers],['#support.saison_en_cours]])</f>
        <v>163</v>
      </c>
      <c r="C166" s="39">
        <f>IF(suivi[[#This Row],['#support.saison]]=saison_en_cours,1,"")</f>
        <v>1</v>
      </c>
      <c r="D166" s="36" t="s">
        <v>7</v>
      </c>
      <c r="E166" s="36"/>
      <c r="F166" s="36"/>
      <c r="G166" s="40">
        <v>2</v>
      </c>
      <c r="H166" s="36"/>
      <c r="I166" s="36"/>
      <c r="J166" s="41"/>
      <c r="K166" s="41"/>
      <c r="L166" s="36"/>
      <c r="M166" s="36"/>
      <c r="N166" s="36"/>
      <c r="O166" s="36"/>
      <c r="P166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66" s="39">
        <f>IF(suivi[[#This Row],['#support.nom]]="","",COUNTIF(suivi['#support.nom],suivi[[#This Row],['#support.nom]]))</f>
        <v>30</v>
      </c>
      <c r="T166" s="34"/>
      <c r="V166" s="35"/>
      <c r="AH166" s="36" t="str" cm="1">
        <f t="array" ref="AH166">_xlfn._xlws.FILTER(saisons[nom],(saisons[debut]&lt;=suivi[[#This Row],[date]])*(saisons[fin]&gt;=suivi[[#This Row],[date]]))</f>
        <v>2025-2026</v>
      </c>
      <c r="AI166" s="36">
        <f>MIN(COUNTIFS(suivi[entree.categorie],"Evènement",suivi[entree.nom],suivi[[#This Row],[entree.nom]]),1)</f>
        <v>0</v>
      </c>
      <c r="AK166" s="36" t="str" cm="1">
        <f t="array" ref="AK166">IFERROR(_xlfn.TEXTJOIN(",",TRUE,_xlfn.UNIQUE(_xlfn._xlws.FILTER(suivi['#support.traite_manuel],(suivi[[#This Row],['#support.nom]]&lt;&gt;"")*(suivi['#support.nom]=suivi[[#This Row],['#support.nom]])))),"-")</f>
        <v/>
      </c>
    </row>
    <row r="167" spans="1:37" x14ac:dyDescent="0.25">
      <c r="A167" s="34">
        <v>45954</v>
      </c>
      <c r="B167" s="36">
        <f>ROW(suivi[[#This Row],['#support.id]])-ROW(suivi[[#Headers],['#support.saison_en_cours]])</f>
        <v>164</v>
      </c>
      <c r="C167" s="39">
        <f>IF(suivi[[#This Row],['#support.saison]]=saison_en_cours,1,"")</f>
        <v>1</v>
      </c>
      <c r="D167" s="36" t="s">
        <v>7</v>
      </c>
      <c r="E167" s="36"/>
      <c r="F167" s="36"/>
      <c r="G167" s="40">
        <v>1</v>
      </c>
      <c r="H167" s="36"/>
      <c r="I167" s="36"/>
      <c r="J167" s="41"/>
      <c r="K167" s="41"/>
      <c r="L167" s="36"/>
      <c r="M167" s="36"/>
      <c r="N167" s="36"/>
      <c r="O167" s="36"/>
      <c r="P167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7" s="39">
        <f>IF(suivi[[#This Row],['#support.nom]]="","",COUNTIF(suivi['#support.nom],suivi[[#This Row],['#support.nom]]))</f>
        <v>98</v>
      </c>
      <c r="T167" s="34"/>
      <c r="V167" s="35"/>
      <c r="AH167" s="36" t="str" cm="1">
        <f t="array" ref="AH167">_xlfn._xlws.FILTER(saisons[nom],(saisons[debut]&lt;=suivi[[#This Row],[date]])*(saisons[fin]&gt;=suivi[[#This Row],[date]]))</f>
        <v>2025-2026</v>
      </c>
      <c r="AI167" s="36">
        <f>MIN(COUNTIFS(suivi[entree.categorie],"Evènement",suivi[entree.nom],suivi[[#This Row],[entree.nom]]),1)</f>
        <v>0</v>
      </c>
      <c r="AK167" s="36" t="str" cm="1">
        <f t="array" ref="AK167">IFERROR(_xlfn.TEXTJOIN(",",TRUE,_xlfn.UNIQUE(_xlfn._xlws.FILTER(suivi['#support.traite_manuel],(suivi[[#This Row],['#support.nom]]&lt;&gt;"")*(suivi['#support.nom]=suivi[[#This Row],['#support.nom]])))),"-")</f>
        <v/>
      </c>
    </row>
    <row r="168" spans="1:37" x14ac:dyDescent="0.25">
      <c r="A168" s="34">
        <v>45961</v>
      </c>
      <c r="B168" s="36">
        <f>ROW(suivi[[#This Row],['#support.id]])-ROW(suivi[[#Headers],['#support.saison_en_cours]])</f>
        <v>165</v>
      </c>
      <c r="C168" s="39">
        <f>IF(suivi[[#This Row],['#support.saison]]=saison_en_cours,1,"")</f>
        <v>1</v>
      </c>
      <c r="D168" s="36" t="s">
        <v>7</v>
      </c>
      <c r="E168" s="36" t="s">
        <v>685</v>
      </c>
      <c r="F168" s="36"/>
      <c r="G168" s="40">
        <v>1</v>
      </c>
      <c r="H168" s="36"/>
      <c r="I168" s="36"/>
      <c r="J168" s="41"/>
      <c r="K168" s="41"/>
      <c r="L168" s="36"/>
      <c r="M168" s="36"/>
      <c r="N168" s="36"/>
      <c r="O168" s="36"/>
      <c r="P168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8" s="39">
        <f>IF(suivi[[#This Row],['#support.nom]]="","",COUNTIF(suivi['#support.nom],suivi[[#This Row],['#support.nom]]))</f>
        <v>98</v>
      </c>
      <c r="T168" s="34"/>
      <c r="V168" s="35"/>
      <c r="AH168" s="36" t="str" cm="1">
        <f t="array" ref="AH168">_xlfn._xlws.FILTER(saisons[nom],(saisons[debut]&lt;=suivi[[#This Row],[date]])*(saisons[fin]&gt;=suivi[[#This Row],[date]]))</f>
        <v>2025-2026</v>
      </c>
      <c r="AI168" s="36">
        <f>MIN(COUNTIFS(suivi[entree.categorie],"Evènement",suivi[entree.nom],suivi[[#This Row],[entree.nom]]),1)</f>
        <v>1</v>
      </c>
      <c r="AK168" s="36" t="str" cm="1">
        <f t="array" ref="AK168">IFERROR(_xlfn.TEXTJOIN(",",TRUE,_xlfn.UNIQUE(_xlfn._xlws.FILTER(suivi['#support.traite_manuel],(suivi[[#This Row],['#support.nom]]&lt;&gt;"")*(suivi['#support.nom]=suivi[[#This Row],['#support.nom]])))),"-")</f>
        <v/>
      </c>
    </row>
    <row r="169" spans="1:37" x14ac:dyDescent="0.25">
      <c r="A169" s="34">
        <v>45961</v>
      </c>
      <c r="B169" s="36">
        <f>ROW(suivi[[#This Row],['#support.id]])-ROW(suivi[[#Headers],['#support.saison_en_cours]])</f>
        <v>166</v>
      </c>
      <c r="C169" s="39">
        <f>IF(suivi[[#This Row],['#support.saison]]=saison_en_cours,1,"")</f>
        <v>1</v>
      </c>
      <c r="D169" s="36" t="s">
        <v>7</v>
      </c>
      <c r="E169" s="36" t="s">
        <v>685</v>
      </c>
      <c r="F169" s="36"/>
      <c r="G169" s="40">
        <v>2</v>
      </c>
      <c r="H169" s="36"/>
      <c r="I169" s="36"/>
      <c r="J169" s="41"/>
      <c r="K169" s="41"/>
      <c r="L169" s="36"/>
      <c r="M169" s="36"/>
      <c r="N169" s="36"/>
      <c r="O169" s="36"/>
      <c r="P169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69" s="39">
        <f>IF(suivi[[#This Row],['#support.nom]]="","",COUNTIF(suivi['#support.nom],suivi[[#This Row],['#support.nom]]))</f>
        <v>30</v>
      </c>
      <c r="T169" s="34"/>
      <c r="V169" s="35"/>
      <c r="AH169" s="36" t="str" cm="1">
        <f t="array" ref="AH169">_xlfn._xlws.FILTER(saisons[nom],(saisons[debut]&lt;=suivi[[#This Row],[date]])*(saisons[fin]&gt;=suivi[[#This Row],[date]]))</f>
        <v>2025-2026</v>
      </c>
      <c r="AI169" s="36">
        <f>MIN(COUNTIFS(suivi[entree.categorie],"Evènement",suivi[entree.nom],suivi[[#This Row],[entree.nom]]),1)</f>
        <v>1</v>
      </c>
      <c r="AK169" s="36" t="str" cm="1">
        <f t="array" ref="AK169">IFERROR(_xlfn.TEXTJOIN(",",TRUE,_xlfn.UNIQUE(_xlfn._xlws.FILTER(suivi['#support.traite_manuel],(suivi[[#This Row],['#support.nom]]&lt;&gt;"")*(suivi['#support.nom]=suivi[[#This Row],['#support.nom]])))),"-")</f>
        <v/>
      </c>
    </row>
    <row r="170" spans="1:37" x14ac:dyDescent="0.25">
      <c r="A170" s="34">
        <v>45961</v>
      </c>
      <c r="B170" s="28">
        <f>ROW(suivi[[#This Row],['#support.id]])-ROW(suivi[[#Headers],['#support.saison_en_cours]])</f>
        <v>167</v>
      </c>
      <c r="C170" s="31">
        <f>IF(suivi[[#This Row],['#support.saison]]=saison_en_cours,1,"")</f>
        <v>1</v>
      </c>
      <c r="D170" s="36" t="s">
        <v>0</v>
      </c>
      <c r="E170" s="36" t="s">
        <v>685</v>
      </c>
      <c r="F170" s="36"/>
      <c r="G170" s="40"/>
      <c r="H170" s="36"/>
      <c r="I170" s="36"/>
      <c r="J170" s="41"/>
      <c r="K170" s="41"/>
      <c r="L170" s="36"/>
      <c r="M170" s="36"/>
      <c r="N170" s="36"/>
      <c r="O170" s="36"/>
      <c r="P170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Evènement_Soirée Jeux Halloween_167</v>
      </c>
      <c r="Q170" s="31">
        <f>IF(suivi[[#This Row],['#support.nom]]="","",COUNTIF(suivi['#support.nom],suivi[[#This Row],['#support.nom]]))</f>
        <v>1</v>
      </c>
      <c r="T170" s="34"/>
      <c r="V170" s="35"/>
      <c r="AH170" s="28" t="str" cm="1">
        <f t="array" ref="AH170">_xlfn._xlws.FILTER(saisons[nom],(saisons[debut]&lt;=suivi[[#This Row],[date]])*(saisons[fin]&gt;=suivi[[#This Row],[date]]))</f>
        <v>2025-2026</v>
      </c>
      <c r="AI170" s="28">
        <f>MIN(COUNTIFS(suivi[entree.categorie],"Evènement",suivi[entree.nom],suivi[[#This Row],[entree.nom]]),1)</f>
        <v>1</v>
      </c>
      <c r="AK170" s="28" t="str" cm="1">
        <f t="array" ref="AK170">IFERROR(_xlfn.TEXTJOIN(",",TRUE,_xlfn.UNIQUE(_xlfn._xlws.FILTER(suivi['#support.traite_manuel],(suivi[[#This Row],['#support.nom]]&lt;&gt;"")*(suivi['#support.nom]=suivi[[#This Row],['#support.nom]])))),"-")</f>
        <v/>
      </c>
    </row>
    <row r="171" spans="1:37" x14ac:dyDescent="0.25">
      <c r="A171" s="34">
        <v>45962</v>
      </c>
      <c r="B171" s="36">
        <f>ROW(suivi[[#This Row],['#support.id]])-ROW(suivi[[#Headers],['#support.saison_en_cours]])</f>
        <v>168</v>
      </c>
      <c r="C171" s="39">
        <f>IF(suivi[[#This Row],['#support.saison]]=saison_en_cours,1,"")</f>
        <v>1</v>
      </c>
      <c r="D171" s="36" t="s">
        <v>441</v>
      </c>
      <c r="E171" s="36"/>
      <c r="F171" s="36"/>
      <c r="G171" s="40">
        <v>1</v>
      </c>
      <c r="H171" s="36" t="s">
        <v>215</v>
      </c>
      <c r="I171" s="36"/>
      <c r="J171" s="41"/>
      <c r="K171" s="41"/>
      <c r="L171" s="36"/>
      <c r="M171" s="36"/>
      <c r="N171" s="36"/>
      <c r="O171" s="36" t="s">
        <v>691</v>
      </c>
      <c r="P171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1" s="39">
        <f>IF(suivi[[#This Row],['#support.nom]]="","",COUNTIF(suivi['#support.nom],suivi[[#This Row],['#support.nom]]))</f>
        <v>98</v>
      </c>
      <c r="T171" s="34"/>
      <c r="V171" s="35"/>
      <c r="AH171" s="36" t="str" cm="1">
        <f t="array" ref="AH171">_xlfn._xlws.FILTER(saisons[nom],(saisons[debut]&lt;=suivi[[#This Row],[date]])*(saisons[fin]&gt;=suivi[[#This Row],[date]]))</f>
        <v>2025-2026</v>
      </c>
      <c r="AI171" s="36">
        <f>MIN(COUNTIFS(suivi[entree.categorie],"Evènement",suivi[entree.nom],suivi[[#This Row],[entree.nom]]),1)</f>
        <v>0</v>
      </c>
      <c r="AK171" s="36" t="str" cm="1">
        <f t="array" ref="AK171">IFERROR(_xlfn.TEXTJOIN(",",TRUE,_xlfn.UNIQUE(_xlfn._xlws.FILTER(suivi['#support.traite_manuel],(suivi[[#This Row],['#support.nom]]&lt;&gt;"")*(suivi['#support.nom]=suivi[[#This Row],['#support.nom]])))),"-")</f>
        <v/>
      </c>
    </row>
    <row r="172" spans="1:37" x14ac:dyDescent="0.25">
      <c r="A172" s="34">
        <v>45968</v>
      </c>
      <c r="B172" s="36">
        <f>ROW(suivi[[#This Row],['#support.id]])-ROW(suivi[[#Headers],['#support.saison_en_cours]])</f>
        <v>169</v>
      </c>
      <c r="C172" s="39">
        <f>IF(suivi[[#This Row],['#support.saison]]=saison_en_cours,1,"")</f>
        <v>1</v>
      </c>
      <c r="D172" s="36" t="s">
        <v>7</v>
      </c>
      <c r="E172" s="36"/>
      <c r="F172" s="36"/>
      <c r="G172" s="40">
        <v>1</v>
      </c>
      <c r="H172" s="36"/>
      <c r="I172" s="36"/>
      <c r="J172" s="41"/>
      <c r="K172" s="41"/>
      <c r="L172" s="36"/>
      <c r="M172" s="36"/>
      <c r="N172" s="36"/>
      <c r="O172" s="36"/>
      <c r="P172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2" s="39">
        <f>IF(suivi[[#This Row],['#support.nom]]="","",COUNTIF(suivi['#support.nom],suivi[[#This Row],['#support.nom]]))</f>
        <v>98</v>
      </c>
      <c r="T172" s="34"/>
      <c r="V172" s="35"/>
      <c r="AH172" s="36" t="str" cm="1">
        <f t="array" ref="AH172">_xlfn._xlws.FILTER(saisons[nom],(saisons[debut]&lt;=suivi[[#This Row],[date]])*(saisons[fin]&gt;=suivi[[#This Row],[date]]))</f>
        <v>2025-2026</v>
      </c>
      <c r="AI172" s="36">
        <f>MIN(COUNTIFS(suivi[entree.categorie],"Evènement",suivi[entree.nom],suivi[[#This Row],[entree.nom]]),1)</f>
        <v>0</v>
      </c>
      <c r="AK172" s="36" t="str" cm="1">
        <f t="array" ref="AK172">IFERROR(_xlfn.TEXTJOIN(",",TRUE,_xlfn.UNIQUE(_xlfn._xlws.FILTER(suivi['#support.traite_manuel],(suivi[[#This Row],['#support.nom]]&lt;&gt;"")*(suivi['#support.nom]=suivi[[#This Row],['#support.nom]])))),"-")</f>
        <v/>
      </c>
    </row>
    <row r="173" spans="1:37" x14ac:dyDescent="0.25">
      <c r="A173" s="34">
        <v>45975</v>
      </c>
      <c r="B173" s="36">
        <f>ROW(suivi[[#This Row],['#support.id]])-ROW(suivi[[#Headers],['#support.saison_en_cours]])</f>
        <v>170</v>
      </c>
      <c r="C173" s="39">
        <f>IF(suivi[[#This Row],['#support.saison]]=saison_en_cours,1,"")</f>
        <v>1</v>
      </c>
      <c r="D173" s="36" t="s">
        <v>7</v>
      </c>
      <c r="E173" s="36"/>
      <c r="F173" s="36"/>
      <c r="G173" s="40">
        <v>1</v>
      </c>
      <c r="H173" s="36"/>
      <c r="I173" s="36"/>
      <c r="J173" s="41"/>
      <c r="K173" s="41"/>
      <c r="L173" s="36"/>
      <c r="M173" s="36"/>
      <c r="N173" s="36"/>
      <c r="O173" s="36"/>
      <c r="P173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3" s="39">
        <f>IF(suivi[[#This Row],['#support.nom]]="","",COUNTIF(suivi['#support.nom],suivi[[#This Row],['#support.nom]]))</f>
        <v>98</v>
      </c>
      <c r="T173" s="34"/>
      <c r="V173" s="35"/>
      <c r="AH173" s="36" t="str" cm="1">
        <f t="array" ref="AH173">_xlfn._xlws.FILTER(saisons[nom],(saisons[debut]&lt;=suivi[[#This Row],[date]])*(saisons[fin]&gt;=suivi[[#This Row],[date]]))</f>
        <v>2025-2026</v>
      </c>
      <c r="AI173" s="36">
        <f>MIN(COUNTIFS(suivi[entree.categorie],"Evènement",suivi[entree.nom],suivi[[#This Row],[entree.nom]]),1)</f>
        <v>0</v>
      </c>
      <c r="AK173" s="36" t="str" cm="1">
        <f t="array" ref="AK173">IFERROR(_xlfn.TEXTJOIN(",",TRUE,_xlfn.UNIQUE(_xlfn._xlws.FILTER(suivi['#support.traite_manuel],(suivi[[#This Row],['#support.nom]]&lt;&gt;"")*(suivi['#support.nom]=suivi[[#This Row],['#support.nom]])))),"-")</f>
        <v/>
      </c>
    </row>
    <row r="174" spans="1:37" x14ac:dyDescent="0.25">
      <c r="A174" s="34">
        <v>45982</v>
      </c>
      <c r="B174" s="36">
        <f>ROW(suivi[[#This Row],['#support.id]])-ROW(suivi[[#Headers],['#support.saison_en_cours]])</f>
        <v>171</v>
      </c>
      <c r="C174" s="39">
        <f>IF(suivi[[#This Row],['#support.saison]]=saison_en_cours,1,"")</f>
        <v>1</v>
      </c>
      <c r="D174" s="36" t="s">
        <v>7</v>
      </c>
      <c r="E174" s="36"/>
      <c r="F174" s="36"/>
      <c r="G174" s="40">
        <v>1</v>
      </c>
      <c r="H174" s="36"/>
      <c r="I174" s="36"/>
      <c r="J174" s="41"/>
      <c r="K174" s="41"/>
      <c r="L174" s="36"/>
      <c r="M174" s="36"/>
      <c r="N174" s="36"/>
      <c r="O174" s="36"/>
      <c r="P174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4" s="39">
        <f>IF(suivi[[#This Row],['#support.nom]]="","",COUNTIF(suivi['#support.nom],suivi[[#This Row],['#support.nom]]))</f>
        <v>98</v>
      </c>
      <c r="T174" s="34"/>
      <c r="V174" s="35"/>
      <c r="AH174" s="36" t="str" cm="1">
        <f t="array" ref="AH174">_xlfn._xlws.FILTER(saisons[nom],(saisons[debut]&lt;=suivi[[#This Row],[date]])*(saisons[fin]&gt;=suivi[[#This Row],[date]]))</f>
        <v>2025-2026</v>
      </c>
      <c r="AI174" s="36">
        <f>MIN(COUNTIFS(suivi[entree.categorie],"Evènement",suivi[entree.nom],suivi[[#This Row],[entree.nom]]),1)</f>
        <v>0</v>
      </c>
      <c r="AK174" s="36" t="str" cm="1">
        <f t="array" ref="AK174">IFERROR(_xlfn.TEXTJOIN(",",TRUE,_xlfn.UNIQUE(_xlfn._xlws.FILTER(suivi['#support.traite_manuel],(suivi[[#This Row],['#support.nom]]&lt;&gt;"")*(suivi['#support.nom]=suivi[[#This Row],['#support.nom]])))),"-")</f>
        <v/>
      </c>
    </row>
    <row r="175" spans="1:37" x14ac:dyDescent="0.25">
      <c r="A175" s="34">
        <v>45982</v>
      </c>
      <c r="B175" s="36">
        <f>ROW(suivi[[#This Row],['#support.id]])-ROW(suivi[[#Headers],['#support.saison_en_cours]])</f>
        <v>172</v>
      </c>
      <c r="C175" s="39">
        <f>IF(suivi[[#This Row],['#support.saison]]=saison_en_cours,1,"")</f>
        <v>1</v>
      </c>
      <c r="D175" s="36" t="s">
        <v>7</v>
      </c>
      <c r="E175" s="36"/>
      <c r="F175" s="36"/>
      <c r="G175" s="40">
        <v>2</v>
      </c>
      <c r="H175" s="36"/>
      <c r="I175" s="36"/>
      <c r="J175" s="41"/>
      <c r="K175" s="41"/>
      <c r="L175" s="36"/>
      <c r="M175" s="36"/>
      <c r="N175" s="36"/>
      <c r="O175" s="36"/>
      <c r="P175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75" s="39">
        <f>IF(suivi[[#This Row],['#support.nom]]="","",COUNTIF(suivi['#support.nom],suivi[[#This Row],['#support.nom]]))</f>
        <v>30</v>
      </c>
      <c r="T175" s="34"/>
      <c r="V175" s="35"/>
      <c r="AH175" s="36" t="str" cm="1">
        <f t="array" ref="AH175">_xlfn._xlws.FILTER(saisons[nom],(saisons[debut]&lt;=suivi[[#This Row],[date]])*(saisons[fin]&gt;=suivi[[#This Row],[date]]))</f>
        <v>2025-2026</v>
      </c>
      <c r="AI175" s="36">
        <f>MIN(COUNTIFS(suivi[entree.categorie],"Evènement",suivi[entree.nom],suivi[[#This Row],[entree.nom]]),1)</f>
        <v>0</v>
      </c>
      <c r="AK175" s="36" t="str" cm="1">
        <f t="array" ref="AK175">IFERROR(_xlfn.TEXTJOIN(",",TRUE,_xlfn.UNIQUE(_xlfn._xlws.FILTER(suivi['#support.traite_manuel],(suivi[[#This Row],['#support.nom]]&lt;&gt;"")*(suivi['#support.nom]=suivi[[#This Row],['#support.nom]])))),"-")</f>
        <v/>
      </c>
    </row>
    <row r="176" spans="1:37" x14ac:dyDescent="0.25">
      <c r="A176" s="34">
        <v>45989</v>
      </c>
      <c r="B176" s="36">
        <f>ROW(suivi[[#This Row],['#support.id]])-ROW(suivi[[#Headers],['#support.saison_en_cours]])</f>
        <v>173</v>
      </c>
      <c r="C176" s="39">
        <f>IF(suivi[[#This Row],['#support.saison]]=saison_en_cours,1,"")</f>
        <v>1</v>
      </c>
      <c r="D176" s="36" t="s">
        <v>7</v>
      </c>
      <c r="E176" s="36"/>
      <c r="F176" s="36"/>
      <c r="G176" s="40">
        <v>1</v>
      </c>
      <c r="H176" s="36"/>
      <c r="I176" s="36"/>
      <c r="J176" s="41"/>
      <c r="K176" s="41"/>
      <c r="L176" s="36"/>
      <c r="M176" s="36"/>
      <c r="N176" s="36"/>
      <c r="O176" s="36"/>
      <c r="P176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6" s="39">
        <f>IF(suivi[[#This Row],['#support.nom]]="","",COUNTIF(suivi['#support.nom],suivi[[#This Row],['#support.nom]]))</f>
        <v>98</v>
      </c>
      <c r="T176" s="34"/>
      <c r="V176" s="35"/>
      <c r="AH176" s="36" t="str" cm="1">
        <f t="array" ref="AH176">_xlfn._xlws.FILTER(saisons[nom],(saisons[debut]&lt;=suivi[[#This Row],[date]])*(saisons[fin]&gt;=suivi[[#This Row],[date]]))</f>
        <v>2025-2026</v>
      </c>
      <c r="AI176" s="36">
        <f>MIN(COUNTIFS(suivi[entree.categorie],"Evènement",suivi[entree.nom],suivi[[#This Row],[entree.nom]]),1)</f>
        <v>0</v>
      </c>
      <c r="AK176" s="36" t="str" cm="1">
        <f t="array" ref="AK176">IFERROR(_xlfn.TEXTJOIN(",",TRUE,_xlfn.UNIQUE(_xlfn._xlws.FILTER(suivi['#support.traite_manuel],(suivi[[#This Row],['#support.nom]]&lt;&gt;"")*(suivi['#support.nom]=suivi[[#This Row],['#support.nom]])))),"-")</f>
        <v/>
      </c>
    </row>
    <row r="177" spans="1:37" x14ac:dyDescent="0.25">
      <c r="A177" s="34">
        <v>45992</v>
      </c>
      <c r="B177" s="28">
        <f>ROW(suivi[[#This Row],['#support.id]])-ROW(suivi[[#Headers],['#support.saison_en_cours]])</f>
        <v>174</v>
      </c>
      <c r="C177" s="31">
        <f>IF(suivi[[#This Row],['#support.saison]]=saison_en_cours,1,"")</f>
        <v>1</v>
      </c>
      <c r="D177" s="36" t="s">
        <v>0</v>
      </c>
      <c r="E177" s="36" t="s">
        <v>710</v>
      </c>
      <c r="F177" s="36" t="s">
        <v>711</v>
      </c>
      <c r="G177" s="40"/>
      <c r="H177" s="36"/>
      <c r="I177" s="36" t="s">
        <v>261</v>
      </c>
      <c r="J177" s="41"/>
      <c r="K177" s="41"/>
      <c r="L177" s="36"/>
      <c r="M177" s="36"/>
      <c r="N177" s="36"/>
      <c r="O177" s="36"/>
      <c r="P177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2025_Emission Chèque XXXXX - Trésor Public - XX/09/2025_174</v>
      </c>
      <c r="Q177" s="31">
        <f>IF(suivi[[#This Row],['#support.nom]]="","",COUNTIF(suivi['#support.nom],suivi[[#This Row],['#support.nom]]))</f>
        <v>1</v>
      </c>
      <c r="T177" s="34"/>
      <c r="V177" s="35"/>
      <c r="AH177" s="28" t="str" cm="1">
        <f t="array" ref="AH177">_xlfn._xlws.FILTER(saisons[nom],(saisons[debut]&lt;=suivi[[#This Row],[date]])*(saisons[fin]&gt;=suivi[[#This Row],[date]]))</f>
        <v>2025-2026</v>
      </c>
      <c r="AI177" s="28">
        <f>MIN(COUNTIFS(suivi[entree.categorie],"Evènement",suivi[entree.nom],suivi[[#This Row],[entree.nom]]),1)</f>
        <v>1</v>
      </c>
      <c r="AK177" s="28" t="str" cm="1">
        <f t="array" ref="AK177">IFERROR(_xlfn.TEXTJOIN(",",TRUE,_xlfn.UNIQUE(_xlfn._xlws.FILTER(suivi['#support.traite_manuel],(suivi[[#This Row],['#support.nom]]&lt;&gt;"")*(suivi['#support.nom]=suivi[[#This Row],['#support.nom]])))),"-")</f>
        <v/>
      </c>
    </row>
    <row r="178" spans="1:37" x14ac:dyDescent="0.25">
      <c r="A178" s="34">
        <v>45996</v>
      </c>
      <c r="B178" s="36">
        <f>ROW(suivi[[#This Row],['#support.id]])-ROW(suivi[[#Headers],['#support.saison_en_cours]])</f>
        <v>175</v>
      </c>
      <c r="C178" s="39">
        <f>IF(suivi[[#This Row],['#support.saison]]=saison_en_cours,1,"")</f>
        <v>1</v>
      </c>
      <c r="D178" s="36" t="s">
        <v>7</v>
      </c>
      <c r="E178" s="36"/>
      <c r="F178" s="36"/>
      <c r="G178" s="40">
        <v>1</v>
      </c>
      <c r="H178" s="36"/>
      <c r="I178" s="36"/>
      <c r="J178" s="41"/>
      <c r="K178" s="41"/>
      <c r="L178" s="36"/>
      <c r="M178" s="36"/>
      <c r="N178" s="36"/>
      <c r="O178" s="36"/>
      <c r="P178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8" s="39">
        <f>IF(suivi[[#This Row],['#support.nom]]="","",COUNTIF(suivi['#support.nom],suivi[[#This Row],['#support.nom]]))</f>
        <v>98</v>
      </c>
      <c r="T178" s="34"/>
      <c r="V178" s="35"/>
      <c r="AH178" s="36" t="str" cm="1">
        <f t="array" ref="AH178">_xlfn._xlws.FILTER(saisons[nom],(saisons[debut]&lt;=suivi[[#This Row],[date]])*(saisons[fin]&gt;=suivi[[#This Row],[date]]))</f>
        <v>2025-2026</v>
      </c>
      <c r="AI178" s="36">
        <f>MIN(COUNTIFS(suivi[entree.categorie],"Evènement",suivi[entree.nom],suivi[[#This Row],[entree.nom]]),1)</f>
        <v>0</v>
      </c>
      <c r="AK178" s="36" t="str" cm="1">
        <f t="array" ref="AK178">IFERROR(_xlfn.TEXTJOIN(",",TRUE,_xlfn.UNIQUE(_xlfn._xlws.FILTER(suivi['#support.traite_manuel],(suivi[[#This Row],['#support.nom]]&lt;&gt;"")*(suivi['#support.nom]=suivi[[#This Row],['#support.nom]])))),"-")</f>
        <v/>
      </c>
    </row>
    <row r="179" spans="1:37" x14ac:dyDescent="0.25">
      <c r="A179" s="34">
        <v>45996</v>
      </c>
      <c r="B179" s="36">
        <f>ROW(suivi[[#This Row],['#support.id]])-ROW(suivi[[#Headers],['#support.saison_en_cours]])</f>
        <v>176</v>
      </c>
      <c r="C179" s="39">
        <f>IF(suivi[[#This Row],['#support.saison]]=saison_en_cours,1,"")</f>
        <v>1</v>
      </c>
      <c r="D179" s="36" t="s">
        <v>7</v>
      </c>
      <c r="E179" s="36"/>
      <c r="F179" s="36"/>
      <c r="G179" s="40">
        <v>2</v>
      </c>
      <c r="H179" s="36"/>
      <c r="I179" s="36"/>
      <c r="J179" s="41"/>
      <c r="K179" s="41"/>
      <c r="L179" s="36"/>
      <c r="M179" s="36"/>
      <c r="N179" s="36"/>
      <c r="O179" s="36"/>
      <c r="P179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79" s="39">
        <f>IF(suivi[[#This Row],['#support.nom]]="","",COUNTIF(suivi['#support.nom],suivi[[#This Row],['#support.nom]]))</f>
        <v>30</v>
      </c>
      <c r="T179" s="34"/>
      <c r="V179" s="35"/>
      <c r="AH179" s="36" t="str" cm="1">
        <f t="array" ref="AH179">_xlfn._xlws.FILTER(saisons[nom],(saisons[debut]&lt;=suivi[[#This Row],[date]])*(saisons[fin]&gt;=suivi[[#This Row],[date]]))</f>
        <v>2025-2026</v>
      </c>
      <c r="AI179" s="36">
        <f>MIN(COUNTIFS(suivi[entree.categorie],"Evènement",suivi[entree.nom],suivi[[#This Row],[entree.nom]]),1)</f>
        <v>0</v>
      </c>
      <c r="AK179" s="36" t="str" cm="1">
        <f t="array" ref="AK179">IFERROR(_xlfn.TEXTJOIN(",",TRUE,_xlfn.UNIQUE(_xlfn._xlws.FILTER(suivi['#support.traite_manuel],(suivi[[#This Row],['#support.nom]]&lt;&gt;"")*(suivi['#support.nom]=suivi[[#This Row],['#support.nom]])))),"-")</f>
        <v/>
      </c>
    </row>
    <row r="180" spans="1:37" x14ac:dyDescent="0.25">
      <c r="A180" s="34">
        <v>46003</v>
      </c>
      <c r="B180" s="36">
        <f>ROW(suivi[[#This Row],['#support.id]])-ROW(suivi[[#Headers],['#support.saison_en_cours]])</f>
        <v>177</v>
      </c>
      <c r="C180" s="39">
        <f>IF(suivi[[#This Row],['#support.saison]]=saison_en_cours,1,"")</f>
        <v>1</v>
      </c>
      <c r="D180" s="36" t="s">
        <v>7</v>
      </c>
      <c r="E180" s="36"/>
      <c r="F180" s="36"/>
      <c r="G180" s="40">
        <v>1</v>
      </c>
      <c r="H180" s="36"/>
      <c r="I180" s="36"/>
      <c r="J180" s="41"/>
      <c r="K180" s="41"/>
      <c r="L180" s="36"/>
      <c r="M180" s="36"/>
      <c r="N180" s="36"/>
      <c r="O180" s="36"/>
      <c r="P180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80" s="39">
        <f>IF(suivi[[#This Row],['#support.nom]]="","",COUNTIF(suivi['#support.nom],suivi[[#This Row],['#support.nom]]))</f>
        <v>98</v>
      </c>
      <c r="T180" s="34"/>
      <c r="V180" s="35"/>
      <c r="AH180" s="36" t="str" cm="1">
        <f t="array" ref="AH180">_xlfn._xlws.FILTER(saisons[nom],(saisons[debut]&lt;=suivi[[#This Row],[date]])*(saisons[fin]&gt;=suivi[[#This Row],[date]]))</f>
        <v>2025-2026</v>
      </c>
      <c r="AI180" s="36">
        <f>MIN(COUNTIFS(suivi[entree.categorie],"Evènement",suivi[entree.nom],suivi[[#This Row],[entree.nom]]),1)</f>
        <v>0</v>
      </c>
      <c r="AK180" s="36" t="str" cm="1">
        <f t="array" ref="AK180">IFERROR(_xlfn.TEXTJOIN(",",TRUE,_xlfn.UNIQUE(_xlfn._xlws.FILTER(suivi['#support.traite_manuel],(suivi[[#This Row],['#support.nom]]&lt;&gt;"")*(suivi['#support.nom]=suivi[[#This Row],['#support.nom]])))),"-")</f>
        <v/>
      </c>
    </row>
    <row r="181" spans="1:37" x14ac:dyDescent="0.25">
      <c r="A181" s="34">
        <v>46003</v>
      </c>
      <c r="B181" s="36">
        <f>ROW(suivi[[#This Row],['#support.id]])-ROW(suivi[[#Headers],['#support.saison_en_cours]])</f>
        <v>178</v>
      </c>
      <c r="C181" s="39">
        <f>IF(suivi[[#This Row],['#support.saison]]=saison_en_cours,1,"")</f>
        <v>1</v>
      </c>
      <c r="D181" s="36" t="s">
        <v>7</v>
      </c>
      <c r="E181" s="36"/>
      <c r="F181" s="36"/>
      <c r="G181" s="40">
        <v>2</v>
      </c>
      <c r="H181" s="36"/>
      <c r="I181" s="36"/>
      <c r="J181" s="41"/>
      <c r="K181" s="41"/>
      <c r="L181" s="36"/>
      <c r="M181" s="36"/>
      <c r="N181" s="36"/>
      <c r="O181" s="36"/>
      <c r="P181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81" s="39">
        <f>IF(suivi[[#This Row],['#support.nom]]="","",COUNTIF(suivi['#support.nom],suivi[[#This Row],['#support.nom]]))</f>
        <v>30</v>
      </c>
      <c r="T181" s="34"/>
      <c r="V181" s="35"/>
      <c r="AH181" s="36" t="str" cm="1">
        <f t="array" ref="AH181">_xlfn._xlws.FILTER(saisons[nom],(saisons[debut]&lt;=suivi[[#This Row],[date]])*(saisons[fin]&gt;=suivi[[#This Row],[date]]))</f>
        <v>2025-2026</v>
      </c>
      <c r="AI181" s="36">
        <f>MIN(COUNTIFS(suivi[entree.categorie],"Evènement",suivi[entree.nom],suivi[[#This Row],[entree.nom]]),1)</f>
        <v>0</v>
      </c>
      <c r="AK181" s="36" t="str" cm="1">
        <f t="array" ref="AK181">IFERROR(_xlfn.TEXTJOIN(",",TRUE,_xlfn.UNIQUE(_xlfn._xlws.FILTER(suivi['#support.traite_manuel],(suivi[[#This Row],['#support.nom]]&lt;&gt;"")*(suivi['#support.nom]=suivi[[#This Row],['#support.nom]])))),"-")</f>
        <v/>
      </c>
    </row>
    <row r="182" spans="1:37" x14ac:dyDescent="0.25">
      <c r="A182" s="34">
        <v>46010</v>
      </c>
      <c r="B182" s="36">
        <f>ROW(suivi[[#This Row],['#support.id]])-ROW(suivi[[#Headers],['#support.saison_en_cours]])</f>
        <v>179</v>
      </c>
      <c r="C182" s="39">
        <f>IF(suivi[[#This Row],['#support.saison]]=saison_en_cours,1,"")</f>
        <v>1</v>
      </c>
      <c r="D182" s="36" t="s">
        <v>7</v>
      </c>
      <c r="E182" s="36"/>
      <c r="F182" s="36"/>
      <c r="G182" s="40">
        <v>1</v>
      </c>
      <c r="H182" s="36"/>
      <c r="I182" s="36"/>
      <c r="J182" s="41"/>
      <c r="K182" s="41"/>
      <c r="L182" s="36"/>
      <c r="M182" s="36"/>
      <c r="N182" s="36"/>
      <c r="O182" s="36"/>
      <c r="P182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82" s="39">
        <f>IF(suivi[[#This Row],['#support.nom]]="","",COUNTIF(suivi['#support.nom],suivi[[#This Row],['#support.nom]]))</f>
        <v>98</v>
      </c>
      <c r="T182" s="34"/>
      <c r="V182" s="35"/>
      <c r="AH182" s="36" t="str" cm="1">
        <f t="array" ref="AH182">_xlfn._xlws.FILTER(saisons[nom],(saisons[debut]&lt;=suivi[[#This Row],[date]])*(saisons[fin]&gt;=suivi[[#This Row],[date]]))</f>
        <v>2025-2026</v>
      </c>
      <c r="AI182" s="36">
        <f>MIN(COUNTIFS(suivi[entree.categorie],"Evènement",suivi[entree.nom],suivi[[#This Row],[entree.nom]]),1)</f>
        <v>0</v>
      </c>
      <c r="AK182" s="36" t="str" cm="1">
        <f t="array" ref="AK182">IFERROR(_xlfn.TEXTJOIN(",",TRUE,_xlfn.UNIQUE(_xlfn._xlws.FILTER(suivi['#support.traite_manuel],(suivi[[#This Row],['#support.nom]]&lt;&gt;"")*(suivi['#support.nom]=suivi[[#This Row],['#support.nom]])))),"-")</f>
        <v/>
      </c>
    </row>
    <row r="183" spans="1:37" x14ac:dyDescent="0.25">
      <c r="A183" s="34">
        <v>46031</v>
      </c>
      <c r="B183" s="36">
        <f>ROW(suivi[[#This Row],['#support.id]])-ROW(suivi[[#Headers],['#support.saison_en_cours]])</f>
        <v>180</v>
      </c>
      <c r="C183" s="39">
        <f>IF(suivi[[#This Row],['#support.saison]]=saison_en_cours,1,"")</f>
        <v>1</v>
      </c>
      <c r="D183" s="36" t="s">
        <v>7</v>
      </c>
      <c r="E183" s="36" t="s">
        <v>686</v>
      </c>
      <c r="F183" s="36"/>
      <c r="G183" s="40">
        <v>1</v>
      </c>
      <c r="H183" s="36"/>
      <c r="I183" s="36"/>
      <c r="J183" s="41"/>
      <c r="K183" s="41"/>
      <c r="L183" s="36"/>
      <c r="M183" s="36"/>
      <c r="N183" s="36"/>
      <c r="O183" s="36"/>
      <c r="P183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83" s="39">
        <f>IF(suivi[[#This Row],['#support.nom]]="","",COUNTIF(suivi['#support.nom],suivi[[#This Row],['#support.nom]]))</f>
        <v>98</v>
      </c>
      <c r="T183" s="34"/>
      <c r="V183" s="35"/>
      <c r="AH183" s="36" t="str" cm="1">
        <f t="array" ref="AH183">_xlfn._xlws.FILTER(saisons[nom],(saisons[debut]&lt;=suivi[[#This Row],[date]])*(saisons[fin]&gt;=suivi[[#This Row],[date]]))</f>
        <v>2025-2026</v>
      </c>
      <c r="AI183" s="36">
        <f>MIN(COUNTIFS(suivi[entree.categorie],"Evènement",suivi[entree.nom],suivi[[#This Row],[entree.nom]]),1)</f>
        <v>1</v>
      </c>
      <c r="AK183" s="36" t="str" cm="1">
        <f t="array" ref="AK183">IFERROR(_xlfn.TEXTJOIN(",",TRUE,_xlfn.UNIQUE(_xlfn._xlws.FILTER(suivi['#support.traite_manuel],(suivi[[#This Row],['#support.nom]]&lt;&gt;"")*(suivi['#support.nom]=suivi[[#This Row],['#support.nom]])))),"-")</f>
        <v/>
      </c>
    </row>
    <row r="184" spans="1:37" x14ac:dyDescent="0.25">
      <c r="A184" s="34">
        <v>46031</v>
      </c>
      <c r="B184" s="36">
        <f>ROW(suivi[[#This Row],['#support.id]])-ROW(suivi[[#Headers],['#support.saison_en_cours]])</f>
        <v>181</v>
      </c>
      <c r="C184" s="39">
        <f>IF(suivi[[#This Row],['#support.saison]]=saison_en_cours,1,"")</f>
        <v>1</v>
      </c>
      <c r="D184" s="36" t="s">
        <v>7</v>
      </c>
      <c r="E184" s="36" t="s">
        <v>686</v>
      </c>
      <c r="F184" s="36"/>
      <c r="G184" s="40">
        <v>2</v>
      </c>
      <c r="H184" s="36"/>
      <c r="I184" s="36"/>
      <c r="J184" s="41"/>
      <c r="K184" s="41"/>
      <c r="L184" s="36"/>
      <c r="M184" s="36"/>
      <c r="N184" s="36"/>
      <c r="O184" s="36"/>
      <c r="P184" s="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84" s="39">
        <f>IF(suivi[[#This Row],['#support.nom]]="","",COUNTIF(suivi['#support.nom],suivi[[#This Row],['#support.nom]]))</f>
        <v>30</v>
      </c>
      <c r="T184" s="34"/>
      <c r="V184" s="35"/>
      <c r="AH184" s="36" t="str" cm="1">
        <f t="array" ref="AH184">_xlfn._xlws.FILTER(saisons[nom],(saisons[debut]&lt;=suivi[[#This Row],[date]])*(saisons[fin]&gt;=suivi[[#This Row],[date]]))</f>
        <v>2025-2026</v>
      </c>
      <c r="AI184" s="36">
        <f>MIN(COUNTIFS(suivi[entree.categorie],"Evènement",suivi[entree.nom],suivi[[#This Row],[entree.nom]]),1)</f>
        <v>1</v>
      </c>
      <c r="AK184" s="36" t="str" cm="1">
        <f t="array" ref="AK184">IFERROR(_xlfn.TEXTJOIN(",",TRUE,_xlfn.UNIQUE(_xlfn._xlws.FILTER(suivi['#support.traite_manuel],(suivi[[#This Row],['#support.nom]]&lt;&gt;"")*(suivi['#support.nom]=suivi[[#This Row],['#support.nom]])))),"-")</f>
        <v/>
      </c>
    </row>
    <row r="185" spans="1:37" x14ac:dyDescent="0.25">
      <c r="A185" s="34">
        <v>46031</v>
      </c>
      <c r="B185" s="28">
        <f>ROW(suivi[[#This Row],['#support.id]])-ROW(suivi[[#Headers],['#support.saison_en_cours]])</f>
        <v>182</v>
      </c>
      <c r="C185" s="31">
        <f>IF(suivi[[#This Row],['#support.saison]]=saison_en_cours,1,"")</f>
        <v>1</v>
      </c>
      <c r="D185" s="36" t="s">
        <v>0</v>
      </c>
      <c r="E185" s="36" t="s">
        <v>686</v>
      </c>
      <c r="F185" s="36" t="s">
        <v>712</v>
      </c>
      <c r="G185" s="40"/>
      <c r="H185" s="36"/>
      <c r="I185" s="36" t="s">
        <v>438</v>
      </c>
      <c r="J185" s="41"/>
      <c r="K185" s="41">
        <v>-126</v>
      </c>
      <c r="L185" s="36"/>
      <c r="M185" s="36"/>
      <c r="N185" s="36"/>
      <c r="O185" s="36"/>
      <c r="P185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2026_Galette - graines de créateurs_182</v>
      </c>
      <c r="Q185" s="31">
        <f>IF(suivi[[#This Row],['#support.nom]]="","",COUNTIF(suivi['#support.nom],suivi[[#This Row],['#support.nom]]))</f>
        <v>1</v>
      </c>
      <c r="T185" s="34"/>
      <c r="V185" s="35"/>
      <c r="AH185" s="28" t="str" cm="1">
        <f t="array" ref="AH185">_xlfn._xlws.FILTER(saisons[nom],(saisons[debut]&lt;=suivi[[#This Row],[date]])*(saisons[fin]&gt;=suivi[[#This Row],[date]]))</f>
        <v>2025-2026</v>
      </c>
      <c r="AI185" s="28">
        <f>MIN(COUNTIFS(suivi[entree.categorie],"Evènement",suivi[entree.nom],suivi[[#This Row],[entree.nom]]),1)</f>
        <v>1</v>
      </c>
      <c r="AK185" s="28" t="str" cm="1">
        <f t="array" ref="AK185">IFERROR(_xlfn.TEXTJOIN(",",TRUE,_xlfn.UNIQUE(_xlfn._xlws.FILTER(suivi['#support.traite_manuel],(suivi[[#This Row],['#support.nom]]&lt;&gt;"")*(suivi['#support.nom]=suivi[[#This Row],['#support.nom]])))),"-")</f>
        <v/>
      </c>
    </row>
    <row r="186" spans="1:37" x14ac:dyDescent="0.25">
      <c r="A186" s="34">
        <v>46031</v>
      </c>
      <c r="B186" s="28">
        <f>ROW(suivi[[#This Row],['#support.id]])-ROW(suivi[[#Headers],['#support.saison_en_cours]])</f>
        <v>183</v>
      </c>
      <c r="C186" s="31">
        <f>IF(suivi[[#This Row],['#support.saison]]=saison_en_cours,1,"")</f>
        <v>1</v>
      </c>
      <c r="D186" s="36" t="s">
        <v>0</v>
      </c>
      <c r="E186" s="36" t="s">
        <v>686</v>
      </c>
      <c r="F186" s="36" t="s">
        <v>713</v>
      </c>
      <c r="G186" s="40"/>
      <c r="H186" s="36"/>
      <c r="I186" s="36" t="s">
        <v>438</v>
      </c>
      <c r="J186" s="41"/>
      <c r="K186" s="41">
        <v>-43.49</v>
      </c>
      <c r="L186" s="36"/>
      <c r="M186" s="36"/>
      <c r="N186" s="36"/>
      <c r="O186" s="36"/>
      <c r="P186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2026_Boissons &amp; Consommables - Leclerc_183</v>
      </c>
      <c r="Q186" s="31">
        <f>IF(suivi[[#This Row],['#support.nom]]="","",COUNTIF(suivi['#support.nom],suivi[[#This Row],['#support.nom]]))</f>
        <v>1</v>
      </c>
      <c r="T186" s="34"/>
      <c r="V186" s="35"/>
      <c r="AH186" s="28" t="str" cm="1">
        <f t="array" ref="AH186">_xlfn._xlws.FILTER(saisons[nom],(saisons[debut]&lt;=suivi[[#This Row],[date]])*(saisons[fin]&gt;=suivi[[#This Row],[date]]))</f>
        <v>2025-2026</v>
      </c>
      <c r="AI186" s="28">
        <f>MIN(COUNTIFS(suivi[entree.categorie],"Evènement",suivi[entree.nom],suivi[[#This Row],[entree.nom]]),1)</f>
        <v>1</v>
      </c>
      <c r="AK186" s="28" t="str" cm="1">
        <f t="array" ref="AK186">IFERROR(_xlfn.TEXTJOIN(",",TRUE,_xlfn.UNIQUE(_xlfn._xlws.FILTER(suivi['#support.traite_manuel],(suivi[[#This Row],['#support.nom]]&lt;&gt;"")*(suivi['#support.nom]=suivi[[#This Row],['#support.nom]])))),"-")</f>
        <v/>
      </c>
    </row>
    <row r="187" spans="1:37" x14ac:dyDescent="0.25">
      <c r="A187" s="34">
        <v>46031</v>
      </c>
      <c r="B187" s="28">
        <f>ROW(suivi[[#This Row],['#support.id]])-ROW(suivi[[#Headers],['#support.saison_en_cours]])</f>
        <v>184</v>
      </c>
      <c r="C187" s="31">
        <f>IF(suivi[[#This Row],['#support.saison]]=saison_en_cours,1,"")</f>
        <v>1</v>
      </c>
      <c r="D187" s="36" t="s">
        <v>0</v>
      </c>
      <c r="E187" s="36" t="s">
        <v>686</v>
      </c>
      <c r="F187" s="36"/>
      <c r="G187" s="40"/>
      <c r="H187" s="36"/>
      <c r="I187" s="36"/>
      <c r="J187" s="41"/>
      <c r="K187" s="41"/>
      <c r="L187" s="36"/>
      <c r="M187" s="36"/>
      <c r="N187" s="36"/>
      <c r="O187" s="36"/>
      <c r="P187" s="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2026_184</v>
      </c>
      <c r="Q187" s="31">
        <f>IF(suivi[[#This Row],['#support.nom]]="","",COUNTIF(suivi['#support.nom],suivi[[#This Row],['#support.nom]]))</f>
        <v>1</v>
      </c>
      <c r="T187" s="34"/>
      <c r="V187" s="35"/>
      <c r="AH187" s="28" t="str" cm="1">
        <f t="array" ref="AH187">_xlfn._xlws.FILTER(saisons[nom],(saisons[debut]&lt;=suivi[[#This Row],[date]])*(saisons[fin]&gt;=suivi[[#This Row],[date]]))</f>
        <v>2025-2026</v>
      </c>
      <c r="AI187" s="28">
        <f>MIN(COUNTIFS(suivi[entree.categorie],"Evènement",suivi[entree.nom],suivi[[#This Row],[entree.nom]]),1)</f>
        <v>1</v>
      </c>
      <c r="AK187" s="28" t="str" cm="1">
        <f t="array" ref="AK187">IFERROR(_xlfn.TEXTJOIN(",",TRUE,_xlfn.UNIQUE(_xlfn._xlws.FILTER(suivi['#support.traite_manuel],(suivi[[#This Row],['#support.nom]]&lt;&gt;"")*(suivi['#support.nom]=suivi[[#This Row],['#support.nom]])))),"-")</f>
        <v/>
      </c>
    </row>
  </sheetData>
  <phoneticPr fontId="2" type="noConversion"/>
  <conditionalFormatting sqref="A1:XFD1048576">
    <cfRule type="expression" dxfId="5" priority="5">
      <formula>_xlfn.ISFORMULA(A1)</formula>
    </cfRule>
  </conditionalFormatting>
  <dataValidations count="9">
    <dataValidation type="list" allowBlank="1" showInputMessage="1" showErrorMessage="1" sqref="E1" xr:uid="{5DE82082-B9BC-42ED-A770-072331C18022}">
      <formula1>INDIRECT("nom_userfriendly#")</formula1>
    </dataValidation>
    <dataValidation type="list" allowBlank="1" showInputMessage="1" showErrorMessage="1" sqref="X4:X187" xr:uid="{0D1B1BAB-D4DA-4D0E-8B97-1C694200A5BD}">
      <formula1>INDIRECT("type_voie")</formula1>
    </dataValidation>
    <dataValidation type="list" allowBlank="1" showInputMessage="1" showErrorMessage="1" sqref="AG4:AG187" xr:uid="{6E10122B-8D26-4E1A-8D79-19CA78AB0968}">
      <formula1>INDIRECT("connaissance")</formula1>
    </dataValidation>
    <dataValidation type="list" allowBlank="1" showInputMessage="1" showErrorMessage="1" sqref="D4:D187" xr:uid="{1834B9BA-1BE1-4EBF-9CF5-379A7B77F0EC}">
      <formula1>INDIRECT("categories")</formula1>
    </dataValidation>
    <dataValidation type="list" allowBlank="1" showInputMessage="1" showErrorMessage="1" sqref="H4:H187" xr:uid="{A802BCC9-9AB4-4339-97D4-DAF3036B2B7F}">
      <formula1>INDIRECT("roles[asso]")</formula1>
    </dataValidation>
    <dataValidation type="list" allowBlank="1" showInputMessage="1" showErrorMessage="1" sqref="I4:I187" xr:uid="{DCF2DE68-5017-4E04-9D45-CA142F7CC254}">
      <formula1>INDIRECT("compte")</formula1>
    </dataValidation>
    <dataValidation type="list" allowBlank="1" showInputMessage="1" showErrorMessage="1" sqref="E4:E187" xr:uid="{7AEE2518-C9DC-4B0E-9BA3-41EB43EA2C1A}">
      <formula1>INDIRECT("activites#")</formula1>
    </dataValidation>
    <dataValidation type="whole" allowBlank="1" showInputMessage="1" showErrorMessage="1" sqref="G4:G187" xr:uid="{B44037A7-3853-4DBF-8E4F-4461E86D0C32}">
      <formula1>1</formula1>
      <formula2>$H$1</formula2>
    </dataValidation>
    <dataValidation type="list" allowBlank="1" showInputMessage="1" showErrorMessage="1" sqref="M4:M187" xr:uid="{4B2BA544-F451-4F4A-8664-25A6C9AAC43F}">
      <formula1>INDIRECT("contribution")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1944-AC83-48FF-AAE1-6953EF63C65F}">
  <sheetPr>
    <tabColor theme="9"/>
  </sheetPr>
  <dimension ref="A1:AF2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8.7109375" bestFit="1" customWidth="1"/>
    <col min="2" max="2" width="15.140625" bestFit="1" customWidth="1"/>
    <col min="3" max="3" width="17" bestFit="1" customWidth="1"/>
    <col min="4" max="4" width="16.140625" bestFit="1" customWidth="1"/>
    <col min="5" max="5" width="17" bestFit="1" customWidth="1"/>
    <col min="6" max="6" width="58.85546875" bestFit="1" customWidth="1"/>
    <col min="7" max="7" width="15.5703125" bestFit="1" customWidth="1"/>
    <col min="8" max="8" width="17.85546875" bestFit="1" customWidth="1"/>
    <col min="9" max="9" width="19.85546875" bestFit="1" customWidth="1"/>
    <col min="10" max="10" width="23.28515625" bestFit="1" customWidth="1"/>
    <col min="11" max="11" width="23.7109375" bestFit="1" customWidth="1"/>
    <col min="12" max="12" width="12.7109375" bestFit="1" customWidth="1"/>
    <col min="13" max="13" width="18.85546875" bestFit="1" customWidth="1"/>
    <col min="14" max="14" width="20.7109375" bestFit="1" customWidth="1"/>
    <col min="15" max="15" width="17.28515625" bestFit="1" customWidth="1"/>
    <col min="16" max="16" width="37.85546875" bestFit="1" customWidth="1"/>
    <col min="17" max="17" width="15" bestFit="1" customWidth="1"/>
    <col min="18" max="18" width="15" customWidth="1"/>
    <col min="19" max="19" width="20.7109375" bestFit="1" customWidth="1"/>
    <col min="20" max="20" width="19.140625" bestFit="1" customWidth="1"/>
    <col min="21" max="21" width="18.7109375" bestFit="1" customWidth="1"/>
    <col min="22" max="22" width="17.7109375" bestFit="1" customWidth="1"/>
    <col min="23" max="23" width="13.5703125" customWidth="1"/>
    <col min="24" max="25" width="17.42578125" customWidth="1"/>
    <col min="26" max="26" width="27.85546875" customWidth="1"/>
    <col min="27" max="27" width="29.28515625" customWidth="1"/>
    <col min="28" max="28" width="25.28515625" customWidth="1"/>
    <col min="29" max="29" width="16.28515625" customWidth="1"/>
    <col min="30" max="30" width="8.7109375" customWidth="1"/>
    <col min="33" max="33" width="20.85546875" customWidth="1"/>
  </cols>
  <sheetData>
    <row r="1" spans="1:32" x14ac:dyDescent="0.25">
      <c r="A1" t="s">
        <v>217</v>
      </c>
      <c r="B1" t="s">
        <v>266</v>
      </c>
      <c r="C1" t="s">
        <v>8</v>
      </c>
      <c r="D1" t="s">
        <v>9</v>
      </c>
      <c r="E1" t="s">
        <v>218</v>
      </c>
      <c r="F1" t="s">
        <v>415</v>
      </c>
      <c r="G1" t="s">
        <v>392</v>
      </c>
      <c r="H1" s="4" t="s">
        <v>10</v>
      </c>
      <c r="I1" t="s">
        <v>250</v>
      </c>
      <c r="J1" t="s">
        <v>259</v>
      </c>
      <c r="K1" t="s">
        <v>260</v>
      </c>
      <c r="L1" t="s">
        <v>11</v>
      </c>
      <c r="M1" t="s">
        <v>12</v>
      </c>
      <c r="N1" t="s">
        <v>265</v>
      </c>
      <c r="O1" t="s">
        <v>219</v>
      </c>
      <c r="P1" t="s">
        <v>309</v>
      </c>
      <c r="Q1" t="s">
        <v>388</v>
      </c>
      <c r="R1" t="s">
        <v>651</v>
      </c>
      <c r="S1" t="s">
        <v>389</v>
      </c>
      <c r="T1" t="s">
        <v>390</v>
      </c>
      <c r="U1" t="s">
        <v>391</v>
      </c>
      <c r="V1" t="s">
        <v>384</v>
      </c>
      <c r="W1" t="s">
        <v>385</v>
      </c>
      <c r="X1" t="s">
        <v>518</v>
      </c>
      <c r="Y1" t="s">
        <v>610</v>
      </c>
      <c r="Z1" t="s">
        <v>386</v>
      </c>
      <c r="AA1" t="s">
        <v>445</v>
      </c>
      <c r="AB1" t="s">
        <v>444</v>
      </c>
      <c r="AC1" t="s">
        <v>443</v>
      </c>
      <c r="AD1" t="s">
        <v>387</v>
      </c>
      <c r="AE1" t="s">
        <v>451</v>
      </c>
      <c r="AF1" t="s">
        <v>585</v>
      </c>
    </row>
    <row r="2" spans="1:32" x14ac:dyDescent="0.25">
      <c r="A2" s="10">
        <v>1</v>
      </c>
      <c r="B2" s="1">
        <f>_xlfn.MINIFS(suivi[date],suivi[membre.id],annuaire[[#This Row],[id]])</f>
        <v>43716</v>
      </c>
      <c r="C2" t="str" cm="1">
        <f t="array" ref="C2">_xlfn.LET(_xlpm.champ,suivi[membre.prive.nom],
_xlpm.liste_unique,IFERROR(_xlfn.UNIQUE(_xlfn._xlws.FILTER(_xlpm.champ,(_xlpm.champ&lt;&gt;"")*(suivi[membre.id]=annuaire[[#This Row],[id]]))),""),
INDEX(_xlpm.liste_unique,ROWS(_xlpm.liste_unique)))</f>
        <v>Bon</v>
      </c>
      <c r="D2" t="str" cm="1">
        <f t="array" ref="D2">_xlfn.LET(_xlpm.champ,suivi[membre.prive.prenom],
_xlpm.liste_unique,IFERROR(_xlfn.UNIQUE(_xlfn._xlws.FILTER(_xlpm.champ,(_xlpm.champ&lt;&gt;"")*(suivi[membre.id]=annuaire[[#This Row],[id]]))),""),
INDEX(_xlpm.liste_unique,ROWS(_xlpm.liste_unique)))</f>
        <v>Jean</v>
      </c>
      <c r="E2" s="1" cm="1">
        <f t="array" ref="E2">_xlfn.LET(_xlpm.champ,suivi[membre.prive.date_naissance],
_xlpm.liste_unique,IFERROR(_xlfn.UNIQUE(_xlfn._xlws.FILTER(_xlpm.champ,(_xlpm.champ&lt;&gt;"")*(suivi[membre.id]=annuaire[[#This Row],[id]]))),""),
INDEX(_xlpm.liste_unique,ROWS(_xlpm.liste_unique)))</f>
        <v>35431</v>
      </c>
      <c r="F2" s="3" t="str" cm="1">
        <f t="array" ref="F2">_xlfn.LET(_xlpm.champ,suivi[membre.prive.'[emails']],
_xlpm.liste_unique,IFERROR(_xlfn.UNIQUE(_xlfn._xlws.FILTER(_xlpm.champ,(_xlpm.champ&lt;&gt;"")*(suivi[membre.id]=annuaire[[#This Row],[id]]))),""),
INDEX(_xlpm.liste_unique,ROWS(_xlpm.liste_unique)))</f>
        <v>jean.bon@porci.net</v>
      </c>
      <c r="G2" cm="1">
        <f t="array" ref="G2">_xlfn.LET(_xlpm.champ,suivi[membre.prive.'[telephone']],
_xlpm.liste_unique,IFERROR(_xlfn.UNIQUE(_xlfn._xlws.FILTER(_xlpm.champ,(_xlpm.champ&lt;&gt;"")*(suivi[membre.id]=annuaire[[#This Row],[id]]))),""),
INDEX(_xlpm.liste_unique,ROWS(_xlpm.liste_unique)))</f>
        <v>601020304</v>
      </c>
      <c r="H2" cm="1">
        <f t="array" ref="H2">_xlfn.LET(_xlpm.champ,suivi[membre.prive.adresse.numero],
_xlpm.liste_unique,IFERROR(_xlfn.UNIQUE(_xlfn._xlws.FILTER(_xlpm.champ,(_xlpm.champ&lt;&gt;"")*(suivi[membre.id]=annuaire[[#This Row],[id]]))),""),
INDEX(_xlpm.liste_unique,ROWS(_xlpm.liste_unique)))</f>
        <v>1</v>
      </c>
      <c r="I2" t="str" cm="1">
        <f t="array" ref="I2">_xlfn.LET(_xlpm.champ,suivi[membre.prive.adresse.type_voie],
_xlpm.liste_unique,IFERROR(_xlfn.UNIQUE(_xlfn._xlws.FILTER(_xlpm.champ,(_xlpm.champ&lt;&gt;"")*(suivi[membre.id]=annuaire[[#This Row],[id]]))),""),
INDEX(_xlpm.liste_unique,ROWS(_xlpm.liste_unique)))</f>
        <v>rue</v>
      </c>
      <c r="J2" t="str" cm="1">
        <f t="array" ref="J2">_xlfn.LET(_xlpm.champ,suivi[membre.prive.adresse.nom_voie],
_xlpm.liste_unique,IFERROR(_xlfn.UNIQUE(_xlfn._xlws.FILTER(_xlpm.champ,(_xlpm.champ&lt;&gt;"")*(suivi[membre.id]=annuaire[[#This Row],[id]]))),""),
INDEX(_xlpm.liste_unique,ROWS(_xlpm.liste_unique)))</f>
        <v>de l'abatoir</v>
      </c>
      <c r="K2" t="str" cm="1">
        <f t="array" ref="K2">_xlfn.LET(_xlpm.champ,suivi[membre.prive.adresse.autre],
_xlpm.liste_unique,IFERROR(_xlfn.UNIQUE(_xlfn._xlws.FILTER(_xlpm.champ,(_xlpm.champ&lt;&gt;"")*(suivi[membre.id]=annuaire[[#This Row],[id]]))),""),
INDEX(_xlpm.liste_unique,ROWS(_xlpm.liste_unique)))</f>
        <v>Appt 2</v>
      </c>
      <c r="L2" cm="1">
        <f t="array" ref="L2">_xlfn.LET(_xlpm.champ,suivi[membre.prive.adresse.cp],
_xlpm.liste_unique,IFERROR(_xlfn.UNIQUE(_xlfn._xlws.FILTER(_xlpm.champ,(_xlpm.champ&lt;&gt;"")*(suivi[membre.id]=annuaire[[#This Row],[id]]))),""),
INDEX(_xlpm.liste_unique,ROWS(_xlpm.liste_unique)))</f>
        <v>12345</v>
      </c>
      <c r="M2" s="5" t="str" cm="1">
        <f t="array" ref="M2">_xlfn.LET(_xlpm.champ,suivi[membre.prive.adresse.ville],
_xlpm.liste_unique,IFERROR(_xlfn.UNIQUE(_xlfn._xlws.FILTER(_xlpm.champ,(_xlpm.champ&lt;&gt;"")*(suivi[membre.id]=annuaire[[#This Row],[id]]))),""),
INDEX(_xlpm.liste_unique,ROWS(_xlpm.liste_unique)))</f>
        <v>Ailleurs</v>
      </c>
      <c r="N2" t="str" cm="1">
        <f t="array" ref="N2">_xlfn.LET(_xlpm.champ,suivi[membre.prive.pseudo_discord],
_xlpm.liste_unique,IFERROR(_xlfn.UNIQUE(_xlfn._xlws.FILTER(_xlpm.champ,(_xlpm.champ&lt;&gt;"")*(suivi[membre.id]=annuaire[[#This Row],[id]]))),""),
INDEX(_xlpm.liste_unique,ROWS(_xlpm.liste_unique)))</f>
        <v>vbrett</v>
      </c>
      <c r="O2" t="str" cm="1">
        <f t="array" ref="O2">_xlfn.LET(_xlpm.champ,suivi[membre.source_connaissance],
_xlpm.liste_unique,IFERROR(_xlfn.UNIQUE(_xlfn._xlws.FILTER(_xlpm.champ,(_xlpm.champ&lt;&gt;"")*(suivi[membre.id]=annuaire[[#This Row],[id]]))),""),
INDEX(_xlpm.liste_unique,ROWS(_xlpm.liste_unique)))</f>
        <v>Bouche à oreille</v>
      </c>
      <c r="P2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Bon Jean</v>
      </c>
      <c r="Q2" s="8">
        <f>COUNTIFS(suivi[entree.categorie],cotisation,suivi[membre.id],annuaire[[#This Row],[id]])</f>
        <v>7</v>
      </c>
      <c r="R2" s="9">
        <f>_xlfn.LET(_xlpm.der_pres,_xlfn.MINIFS(suivi[date],suivi[entree.categorie],cotisation,suivi[membre.id],annuaire[[#This Row],[id]]),
IF(_xlpm.der_pres=0,"",_xlpm.der_pres))</f>
        <v>43728</v>
      </c>
      <c r="S2" s="9">
        <f>_xlfn.LET(_xlpm.der_pres,_xlfn.MAXIFS(suivi[date],suivi[entree.categorie],cotisation,suivi[membre.id],annuaire[[#This Row],[id]]),
IF(_xlpm.der_pres=0,"",_xlpm.der_pres))</f>
        <v>45913</v>
      </c>
      <c r="T2" s="8">
        <f>COUNTIFS(suivi[entree.categorie],presence,suivi[membre.id],annuaire[[#This Row],[id]])</f>
        <v>85</v>
      </c>
      <c r="U2" s="9">
        <f>_xlfn.MAXIFS(suivi[date],suivi[membre.id],annuaire[[#This Row],[id]])</f>
        <v>46031</v>
      </c>
      <c r="V2" s="8">
        <f>COUNTIFS(suivi[entree.categorie],presence,suivi[membre.id],annuaire[[#This Row],[id]],suivi['#support.saison_en_cours],1)</f>
        <v>17</v>
      </c>
      <c r="W2" s="8">
        <f>IF(COUNTIFS(suivi[entree.categorie],cotisation,suivi[membre.id],annuaire[[#This Row],[id]],suivi['#support.saison_en_cours],1)&gt;0,1,0)</f>
        <v>1</v>
      </c>
      <c r="X2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2" t="str" cm="1">
        <f t="array" ref="Y2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>Bureau - Trésorier</v>
      </c>
      <c r="Z2" t="str">
        <f>IF(annuaire[[#This Row],[saison.asso_role_manuel]]&lt;&gt;"",annuaire[[#This Row],[saison.asso_role_manuel]],
IF(annuaire[[#This Row],[saison.cotis]]&gt;0,cotisant,
IF(annuaire[[#This Row],[saison.precedente]],cotisant_saison_prec,
"")))</f>
        <v>Bureau - Trésorier</v>
      </c>
      <c r="AA2" t="str" cm="1">
        <f t="array" ref="AA2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2" t="str" cm="1">
        <f t="array" ref="AB2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2" t="str" cm="1">
        <f t="array" ref="AC2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2">
        <f ca="1">IF(OR(annuaire[[#This Row],[saison.cotis]]=1,annuaire[[#This Row],[stats.der_activite]]&gt;EDATE(TODAY(),-12)),1,"")</f>
        <v>1</v>
      </c>
      <c r="AE2" s="7" t="str">
        <f>IF(annuaire[[#This Row],[saison.presence]]=0,"",IF(annuaire[[#This Row],[saison.cotis]]=1," ", annuaire[[#This Row],[saison.presence]]))</f>
        <v xml:space="preserve"> </v>
      </c>
      <c r="AF2">
        <f>IF(annuaire[[#This Row],[pseudo_discord]]="","",MATCH(annuaire[[#This Row],[pseudo_discord]],discord[name],0))</f>
        <v>2</v>
      </c>
    </row>
    <row r="3" spans="1:32" x14ac:dyDescent="0.25">
      <c r="A3" s="10">
        <v>2</v>
      </c>
      <c r="B3" s="1">
        <f>_xlfn.MINIFS(suivi[date],suivi[membre.id],annuaire[[#This Row],[id]])</f>
        <v>42370</v>
      </c>
      <c r="C3" t="str" cm="1">
        <f t="array" ref="C3">_xlfn.LET(_xlpm.champ,suivi[membre.prive.nom],
_xlpm.liste_unique,IFERROR(_xlfn.UNIQUE(_xlfn._xlws.FILTER(_xlpm.champ,(_xlpm.champ&lt;&gt;"")*(suivi[membre.id]=annuaire[[#This Row],[id]]))),""),
INDEX(_xlpm.liste_unique,ROWS(_xlpm.liste_unique)))</f>
        <v>Dupont</v>
      </c>
      <c r="D3" t="str" cm="1">
        <f t="array" ref="D3">_xlfn.LET(_xlpm.champ,suivi[membre.prive.prenom],
_xlpm.liste_unique,IFERROR(_xlfn.UNIQUE(_xlfn._xlws.FILTER(_xlpm.champ,(_xlpm.champ&lt;&gt;"")*(suivi[membre.id]=annuaire[[#This Row],[id]]))),""),
INDEX(_xlpm.liste_unique,ROWS(_xlpm.liste_unique)))</f>
        <v>Marie</v>
      </c>
      <c r="E3" s="1" cm="1">
        <f t="array" ref="E3">_xlfn.LET(_xlpm.champ,suivi[membre.prive.date_naissance],
_xlpm.liste_unique,IFERROR(_xlfn.UNIQUE(_xlfn._xlws.FILTER(_xlpm.champ,(_xlpm.champ&lt;&gt;"")*(suivi[membre.id]=annuaire[[#This Row],[id]]))),""),
INDEX(_xlpm.liste_unique,ROWS(_xlpm.liste_unique)))</f>
        <v>29435</v>
      </c>
      <c r="F3" s="3" t="str" cm="1">
        <f t="array" ref="F3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3" t="str" cm="1">
        <f t="array" ref="G3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3" t="str" cm="1">
        <f t="array" ref="H3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3" s="2" t="str" cm="1">
        <f t="array" ref="I3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3" t="str" cm="1">
        <f t="array" ref="J3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3" t="str" cm="1">
        <f t="array" ref="K3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3" t="str" cm="1">
        <f t="array" ref="L3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3" s="5" t="str" cm="1">
        <f t="array" ref="M3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3" t="str" cm="1">
        <f t="array" ref="N3">_xlfn.LET(_xlpm.champ,suivi[membre.prive.pseudo_discord],
_xlpm.liste_unique,IFERROR(_xlfn.UNIQUE(_xlfn._xlws.FILTER(_xlpm.champ,(_xlpm.champ&lt;&gt;"")*(suivi[membre.id]=annuaire[[#This Row],[id]]))),""),
INDEX(_xlpm.liste_unique,ROWS(_xlpm.liste_unique)))</f>
        <v>AjBot</v>
      </c>
      <c r="O3" t="str" cm="1">
        <f t="array" ref="O3">_xlfn.LET(_xlpm.champ,suivi[membre.source_connaissance],
_xlpm.liste_unique,IFERROR(_xlfn.UNIQUE(_xlfn._xlws.FILTER(_xlpm.champ,(_xlpm.champ&lt;&gt;"")*(suivi[membre.id]=annuaire[[#This Row],[id]]))),""),
INDEX(_xlpm.liste_unique,ROWS(_xlpm.liste_unique)))</f>
        <v>Forum Asso</v>
      </c>
      <c r="P3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Dupont Marie</v>
      </c>
      <c r="Q3" s="8">
        <f>COUNTIFS(suivi[entree.categorie],cotisation,suivi[membre.id],annuaire[[#This Row],[id]])</f>
        <v>2</v>
      </c>
      <c r="R3" s="9">
        <f>_xlfn.LET(_xlpm.der_pres,_xlfn.MINIFS(suivi[date],suivi[entree.categorie],cotisation,suivi[membre.id],annuaire[[#This Row],[id]]),
IF(_xlpm.der_pres=0,"",_xlpm.der_pres))</f>
        <v>45597</v>
      </c>
      <c r="S3" s="9">
        <f>_xlfn.LET(_xlpm.der_pres,_xlfn.MAXIFS(suivi[date],suivi[entree.categorie],cotisation,suivi[membre.id],annuaire[[#This Row],[id]]),
IF(_xlpm.der_pres=0,"",_xlpm.der_pres))</f>
        <v>45905</v>
      </c>
      <c r="T3" s="8">
        <f>COUNTIFS(suivi[entree.categorie],presence,suivi[membre.id],annuaire[[#This Row],[id]])</f>
        <v>26</v>
      </c>
      <c r="U3" s="9">
        <f>_xlfn.MAXIFS(suivi[date],suivi[membre.id],annuaire[[#This Row],[id]])</f>
        <v>46031</v>
      </c>
      <c r="V3" s="8">
        <f>COUNTIFS(suivi[entree.categorie],presence,suivi[membre.id],annuaire[[#This Row],[id]],suivi['#support.saison_en_cours],1)</f>
        <v>9</v>
      </c>
      <c r="W3" s="8">
        <f>IF(COUNTIFS(suivi[entree.categorie],cotisation,suivi[membre.id],annuaire[[#This Row],[id]],suivi['#support.saison_en_cours],1)&gt;0,1,0)</f>
        <v>1</v>
      </c>
      <c r="X3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3" t="str" cm="1">
        <f t="array" ref="Y3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3" t="str">
        <f>IF(annuaire[[#This Row],[saison.asso_role_manuel]]&lt;&gt;"",annuaire[[#This Row],[saison.asso_role_manuel]],
IF(annuaire[[#This Row],[saison.cotis]]&gt;0,cotisant,
IF(annuaire[[#This Row],[saison.precedente]],cotisant_saison_prec,
"")))</f>
        <v>Cotisant</v>
      </c>
      <c r="AA3" t="str" cm="1">
        <f t="array" ref="AA3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3" t="str" cm="1">
        <f t="array" ref="AB3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3" t="str" cm="1">
        <f t="array" ref="AC3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3">
        <f ca="1">IF(OR(annuaire[[#This Row],[saison.cotis]]=1,annuaire[[#This Row],[stats.der_activite]]&gt;EDATE(TODAY(),-12)),1,"")</f>
        <v>1</v>
      </c>
      <c r="AE3" s="7" t="str">
        <f>IF(annuaire[[#This Row],[saison.presence]]=0,"",IF(annuaire[[#This Row],[saison.cotis]]=1," ", annuaire[[#This Row],[saison.presence]]))</f>
        <v xml:space="preserve"> </v>
      </c>
      <c r="AF3" t="e">
        <f>IF(annuaire[[#This Row],[pseudo_discord]]="","",MATCH(annuaire[[#This Row],[pseudo_discord]],discord[name],0))</f>
        <v>#N/A</v>
      </c>
    </row>
    <row r="4" spans="1:32" x14ac:dyDescent="0.25">
      <c r="A4" s="10">
        <v>3</v>
      </c>
      <c r="B4" s="1">
        <f>_xlfn.MINIFS(suivi[date],suivi[membre.id],annuaire[[#This Row],[id]])</f>
        <v>42657</v>
      </c>
      <c r="C4" t="str" cm="1">
        <f t="array" ref="C4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4" t="str" cm="1">
        <f t="array" ref="D4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4" s="1" t="str" cm="1">
        <f t="array" ref="E4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4" s="3" t="str" cm="1">
        <f t="array" ref="F4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4" t="str" cm="1">
        <f t="array" ref="G4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4" t="str" cm="1">
        <f t="array" ref="H4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4" t="str" cm="1">
        <f t="array" ref="I4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4" t="str" cm="1">
        <f t="array" ref="J4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4" t="str" cm="1">
        <f t="array" ref="K4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4" t="str" cm="1">
        <f t="array" ref="L4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4" s="5" t="str" cm="1">
        <f t="array" ref="M4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4" t="str" cm="1">
        <f t="array" ref="N4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4" t="str" cm="1">
        <f t="array" ref="O4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4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AJ-00003</v>
      </c>
      <c r="Q4" s="8">
        <f>COUNTIFS(suivi[entree.categorie],cotisation,suivi[membre.id],annuaire[[#This Row],[id]])</f>
        <v>6</v>
      </c>
      <c r="R4" s="9">
        <f>_xlfn.LET(_xlpm.der_pres,_xlfn.MINIFS(suivi[date],suivi[entree.categorie],cotisation,suivi[membre.id],annuaire[[#This Row],[id]]),
IF(_xlpm.der_pres=0,"",_xlpm.der_pres))</f>
        <v>42657</v>
      </c>
      <c r="S4" s="9">
        <f>_xlfn.LET(_xlpm.der_pres,_xlfn.MAXIFS(suivi[date],suivi[entree.categorie],cotisation,suivi[membre.id],annuaire[[#This Row],[id]]),
IF(_xlpm.der_pres=0,"",_xlpm.der_pres))</f>
        <v>44440</v>
      </c>
      <c r="T4" s="8">
        <f>COUNTIFS(suivi[entree.categorie],presence,suivi[membre.id],annuaire[[#This Row],[id]])</f>
        <v>0</v>
      </c>
      <c r="U4" s="9">
        <f>_xlfn.MAXIFS(suivi[date],suivi[membre.id],annuaire[[#This Row],[id]])</f>
        <v>44440</v>
      </c>
      <c r="V4" s="8">
        <f>COUNTIFS(suivi[entree.categorie],presence,suivi[membre.id],annuaire[[#This Row],[id]],suivi['#support.saison_en_cours],1)</f>
        <v>0</v>
      </c>
      <c r="W4" s="8">
        <f>IF(COUNTIFS(suivi[entree.categorie],cotisation,suivi[membre.id],annuaire[[#This Row],[id]],suivi['#support.saison_en_cours],1)&gt;0,1,0)</f>
        <v>0</v>
      </c>
      <c r="X4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4" t="str" cm="1">
        <f t="array" ref="Y4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4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4" t="str" cm="1">
        <f t="array" ref="AA4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4" t="str" cm="1">
        <f t="array" ref="AB4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4" t="str" cm="1">
        <f t="array" ref="AC4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4" t="str">
        <f ca="1">IF(OR(annuaire[[#This Row],[saison.cotis]]=1,annuaire[[#This Row],[stats.der_activite]]&gt;EDATE(TODAY(),-12)),1,"")</f>
        <v/>
      </c>
      <c r="AE4" s="7" t="str">
        <f>IF(annuaire[[#This Row],[saison.presence]]=0,"",IF(annuaire[[#This Row],[saison.cotis]]=1," ", annuaire[[#This Row],[saison.presence]]))</f>
        <v/>
      </c>
      <c r="AF4" t="str">
        <f>IF(annuaire[[#This Row],[pseudo_discord]]="","",MATCH(annuaire[[#This Row],[pseudo_discord]],discord[name],0))</f>
        <v/>
      </c>
    </row>
    <row r="5" spans="1:32" x14ac:dyDescent="0.25">
      <c r="A5" s="10">
        <v>4</v>
      </c>
      <c r="B5" s="1">
        <f>_xlfn.MINIFS(suivi[date],suivi[membre.id],annuaire[[#This Row],[id]])</f>
        <v>45921</v>
      </c>
      <c r="C5" t="str" cm="1">
        <f t="array" ref="C5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5" t="str" cm="1">
        <f t="array" ref="D5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5" s="1" t="str" cm="1">
        <f t="array" ref="E5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5" s="3" t="str" cm="1">
        <f t="array" ref="F5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5" t="str" cm="1">
        <f t="array" ref="G5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5" t="str" cm="1">
        <f t="array" ref="H5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5" t="str" cm="1">
        <f t="array" ref="I5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5" t="str" cm="1">
        <f t="array" ref="J5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5" t="str" cm="1">
        <f t="array" ref="K5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5" t="str" cm="1">
        <f t="array" ref="L5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5" s="5" t="str" cm="1">
        <f t="array" ref="M5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5" t="str" cm="1">
        <f t="array" ref="N5">_xlfn.LET(_xlpm.champ,suivi[membre.prive.pseudo_discord],
_xlpm.liste_unique,IFERROR(_xlfn.UNIQUE(_xlfn._xlws.FILTER(_xlpm.champ,(_xlpm.champ&lt;&gt;"")*(suivi[membre.id]=annuaire[[#This Row],[id]]))),""),
INDEX(_xlpm.liste_unique,ROWS(_xlpm.liste_unique)))</f>
        <v>VbrBot</v>
      </c>
      <c r="O5" t="str" cm="1">
        <f t="array" ref="O5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5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[discord] VbrBot</v>
      </c>
      <c r="Q5" s="8">
        <f>COUNTIFS(suivi[entree.categorie],cotisation,suivi[membre.id],annuaire[[#This Row],[id]])</f>
        <v>0</v>
      </c>
      <c r="R5" s="9" t="str">
        <f>_xlfn.LET(_xlpm.der_pres,_xlfn.MINIFS(suivi[date],suivi[entree.categorie],cotisation,suivi[membre.id],annuaire[[#This Row],[id]]),
IF(_xlpm.der_pres=0,"",_xlpm.der_pres))</f>
        <v/>
      </c>
      <c r="S5" s="9" t="str">
        <f>_xlfn.LET(_xlpm.der_pres,_xlfn.MAXIFS(suivi[date],suivi[entree.categorie],cotisation,suivi[membre.id],annuaire[[#This Row],[id]]),
IF(_xlpm.der_pres=0,"",_xlpm.der_pres))</f>
        <v/>
      </c>
      <c r="T5" s="8">
        <f>COUNTIFS(suivi[entree.categorie],presence,suivi[membre.id],annuaire[[#This Row],[id]])</f>
        <v>0</v>
      </c>
      <c r="U5" s="9">
        <f>_xlfn.MAXIFS(suivi[date],suivi[membre.id],annuaire[[#This Row],[id]])</f>
        <v>45921</v>
      </c>
      <c r="V5" s="8">
        <f>COUNTIFS(suivi[entree.categorie],presence,suivi[membre.id],annuaire[[#This Row],[id]],suivi['#support.saison_en_cours],1)</f>
        <v>0</v>
      </c>
      <c r="W5" s="8">
        <f>IF(COUNTIFS(suivi[entree.categorie],cotisation,suivi[membre.id],annuaire[[#This Row],[id]],suivi['#support.saison_en_cours],1)&gt;0,1,0)</f>
        <v>0</v>
      </c>
      <c r="X5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5" t="str" cm="1">
        <f t="array" ref="Y5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>Bot - VbrBot</v>
      </c>
      <c r="Z5" t="str">
        <f>IF(annuaire[[#This Row],[saison.asso_role_manuel]]&lt;&gt;"",annuaire[[#This Row],[saison.asso_role_manuel]],
IF(annuaire[[#This Row],[saison.cotis]]&gt;0,cotisant,
IF(annuaire[[#This Row],[saison.precedente]],cotisant_saison_prec,
"")))</f>
        <v>Bot - VbrBot</v>
      </c>
      <c r="AA5" t="str" cm="1">
        <f t="array" ref="AA5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5" t="str" cm="1">
        <f t="array" ref="AB5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5" t="str" cm="1">
        <f t="array" ref="AC5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5">
        <f ca="1">IF(OR(annuaire[[#This Row],[saison.cotis]]=1,annuaire[[#This Row],[stats.der_activite]]&gt;EDATE(TODAY(),-12)),1,"")</f>
        <v>1</v>
      </c>
      <c r="AE5" s="7" t="str">
        <f>IF(annuaire[[#This Row],[saison.presence]]=0,"",IF(annuaire[[#This Row],[saison.cotis]]=1," ", annuaire[[#This Row],[saison.presence]]))</f>
        <v/>
      </c>
      <c r="AF5">
        <f>IF(annuaire[[#This Row],[pseudo_discord]]="","",MATCH(annuaire[[#This Row],[pseudo_discord]],discord[name],0))</f>
        <v>113</v>
      </c>
    </row>
    <row r="6" spans="1:32" x14ac:dyDescent="0.25">
      <c r="A6" s="10">
        <v>5</v>
      </c>
      <c r="B6" s="1">
        <f>_xlfn.MINIFS(suivi[date],suivi[membre.id],annuaire[[#This Row],[id]])</f>
        <v>42528</v>
      </c>
      <c r="C6" t="str" cm="1">
        <f t="array" ref="C6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6" t="str" cm="1">
        <f t="array" ref="D6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6" s="1" t="str" cm="1">
        <f t="array" ref="E6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6" s="3" t="str" cm="1">
        <f t="array" ref="F6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6" t="str" cm="1">
        <f t="array" ref="G6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6" t="str" cm="1">
        <f t="array" ref="H6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6" t="str" cm="1">
        <f t="array" ref="I6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6" t="str" cm="1">
        <f t="array" ref="J6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6" t="str" cm="1">
        <f t="array" ref="K6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6" t="str" cm="1">
        <f t="array" ref="L6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6" s="5" t="str" cm="1">
        <f t="array" ref="M6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6" t="str" cm="1">
        <f t="array" ref="N6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6" t="str" cm="1">
        <f t="array" ref="O6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6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AJ-00005</v>
      </c>
      <c r="Q6" s="8">
        <f>COUNTIFS(suivi[entree.categorie],cotisation,suivi[membre.id],annuaire[[#This Row],[id]])</f>
        <v>7</v>
      </c>
      <c r="R6" s="9">
        <f>_xlfn.LET(_xlpm.der_pres,_xlfn.MINIFS(suivi[date],suivi[entree.categorie],cotisation,suivi[membre.id],annuaire[[#This Row],[id]]),
IF(_xlpm.der_pres=0,"",_xlpm.der_pres))</f>
        <v>42528</v>
      </c>
      <c r="S6" s="9">
        <f>_xlfn.LET(_xlpm.der_pres,_xlfn.MAXIFS(suivi[date],suivi[entree.categorie],cotisation,suivi[membre.id],annuaire[[#This Row],[id]]),
IF(_xlpm.der_pres=0,"",_xlpm.der_pres))</f>
        <v>44805</v>
      </c>
      <c r="T6" s="8">
        <f>COUNTIFS(suivi[entree.categorie],presence,suivi[membre.id],annuaire[[#This Row],[id]])</f>
        <v>1</v>
      </c>
      <c r="U6" s="9">
        <f>_xlfn.MAXIFS(suivi[date],suivi[membre.id],annuaire[[#This Row],[id]])</f>
        <v>45611</v>
      </c>
      <c r="V6" s="8">
        <f>COUNTIFS(suivi[entree.categorie],presence,suivi[membre.id],annuaire[[#This Row],[id]],suivi['#support.saison_en_cours],1)</f>
        <v>0</v>
      </c>
      <c r="W6" s="8">
        <f>IF(COUNTIFS(suivi[entree.categorie],cotisation,suivi[membre.id],annuaire[[#This Row],[id]],suivi['#support.saison_en_cours],1)&gt;0,1,0)</f>
        <v>0</v>
      </c>
      <c r="X6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6" t="str" cm="1">
        <f t="array" ref="Y6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6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6" t="str" cm="1">
        <f t="array" ref="AA6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6" t="str" cm="1">
        <f t="array" ref="AB6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6" t="str" cm="1">
        <f t="array" ref="AC6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6" t="str">
        <f ca="1">IF(OR(annuaire[[#This Row],[saison.cotis]]=1,annuaire[[#This Row],[stats.der_activite]]&gt;EDATE(TODAY(),-12)),1,"")</f>
        <v/>
      </c>
      <c r="AE6" s="7" t="str">
        <f>IF(annuaire[[#This Row],[saison.presence]]=0,"",IF(annuaire[[#This Row],[saison.cotis]]=1," ", annuaire[[#This Row],[saison.presence]]))</f>
        <v/>
      </c>
      <c r="AF6" t="str">
        <f>IF(annuaire[[#This Row],[pseudo_discord]]="","",MATCH(annuaire[[#This Row],[pseudo_discord]],discord[name],0))</f>
        <v/>
      </c>
    </row>
    <row r="7" spans="1:32" x14ac:dyDescent="0.25">
      <c r="A7" s="10">
        <v>6</v>
      </c>
      <c r="B7" s="1">
        <f>_xlfn.MINIFS(suivi[date],suivi[membre.id],annuaire[[#This Row],[id]])</f>
        <v>0</v>
      </c>
      <c r="C7" t="str" cm="1">
        <f t="array" ref="C7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7" t="str" cm="1">
        <f t="array" ref="D7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7" s="1" t="str" cm="1">
        <f t="array" ref="E7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7" s="3" t="str" cm="1">
        <f t="array" ref="F7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7" t="str" cm="1">
        <f t="array" ref="G7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7" t="str" cm="1">
        <f t="array" ref="H7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7" t="str" cm="1">
        <f t="array" ref="I7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7" t="str" cm="1">
        <f t="array" ref="J7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7" t="str" cm="1">
        <f t="array" ref="K7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7" t="str" cm="1">
        <f t="array" ref="L7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7" s="5" t="str" cm="1">
        <f t="array" ref="M7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7" t="str" cm="1">
        <f t="array" ref="N7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7" t="str" cm="1">
        <f t="array" ref="O7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7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AJ-00006</v>
      </c>
      <c r="Q7" s="8">
        <f>COUNTIFS(suivi[entree.categorie],cotisation,suivi[membre.id],annuaire[[#This Row],[id]])</f>
        <v>0</v>
      </c>
      <c r="R7" s="9" t="str">
        <f>_xlfn.LET(_xlpm.der_pres,_xlfn.MINIFS(suivi[date],suivi[entree.categorie],cotisation,suivi[membre.id],annuaire[[#This Row],[id]]),
IF(_xlpm.der_pres=0,"",_xlpm.der_pres))</f>
        <v/>
      </c>
      <c r="S7" s="9" t="str">
        <f>_xlfn.LET(_xlpm.der_pres,_xlfn.MAXIFS(suivi[date],suivi[entree.categorie],cotisation,suivi[membre.id],annuaire[[#This Row],[id]]),
IF(_xlpm.der_pres=0,"",_xlpm.der_pres))</f>
        <v/>
      </c>
      <c r="T7" s="8">
        <f>COUNTIFS(suivi[entree.categorie],presence,suivi[membre.id],annuaire[[#This Row],[id]])</f>
        <v>0</v>
      </c>
      <c r="U7" s="9">
        <f>_xlfn.MAXIFS(suivi[date],suivi[membre.id],annuaire[[#This Row],[id]])</f>
        <v>0</v>
      </c>
      <c r="V7" s="8">
        <f>COUNTIFS(suivi[entree.categorie],presence,suivi[membre.id],annuaire[[#This Row],[id]],suivi['#support.saison_en_cours],1)</f>
        <v>0</v>
      </c>
      <c r="W7" s="8">
        <f>IF(COUNTIFS(suivi[entree.categorie],cotisation,suivi[membre.id],annuaire[[#This Row],[id]],suivi['#support.saison_en_cours],1)&gt;0,1,0)</f>
        <v>0</v>
      </c>
      <c r="X7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7" t="str" cm="1">
        <f t="array" ref="Y7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7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7" t="str" cm="1">
        <f t="array" ref="AA7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7" t="str" cm="1">
        <f t="array" ref="AB7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7" t="str" cm="1">
        <f t="array" ref="AC7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7" t="str">
        <f ca="1">IF(OR(annuaire[[#This Row],[saison.cotis]]=1,annuaire[[#This Row],[stats.der_activite]]&gt;EDATE(TODAY(),-12)),1,"")</f>
        <v/>
      </c>
      <c r="AE7" s="7" t="str">
        <f>IF(annuaire[[#This Row],[saison.presence]]=0,"",IF(annuaire[[#This Row],[saison.cotis]]=1," ", annuaire[[#This Row],[saison.presence]]))</f>
        <v/>
      </c>
      <c r="AF7" t="str">
        <f>IF(annuaire[[#This Row],[pseudo_discord]]="","",MATCH(annuaire[[#This Row],[pseudo_discord]],discord[name],0))</f>
        <v/>
      </c>
    </row>
    <row r="8" spans="1:32" x14ac:dyDescent="0.25">
      <c r="A8" s="10">
        <v>7</v>
      </c>
      <c r="B8" s="1">
        <f>_xlfn.MINIFS(suivi[date],suivi[membre.id],annuaire[[#This Row],[id]])</f>
        <v>0</v>
      </c>
      <c r="C8" t="str" cm="1">
        <f t="array" ref="C8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8" t="str" cm="1">
        <f t="array" ref="D8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8" s="1" t="str" cm="1">
        <f t="array" ref="E8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8" s="3" t="str" cm="1">
        <f t="array" ref="F8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8" t="str" cm="1">
        <f t="array" ref="G8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8" t="str" cm="1">
        <f t="array" ref="H8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8" s="2" t="str" cm="1">
        <f t="array" ref="I8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8" t="str" cm="1">
        <f t="array" ref="J8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8" t="str" cm="1">
        <f t="array" ref="K8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8" t="str" cm="1">
        <f t="array" ref="L8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8" s="5" t="str" cm="1">
        <f t="array" ref="M8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8" t="str" cm="1">
        <f t="array" ref="N8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8" t="str" cm="1">
        <f t="array" ref="O8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8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AJ-00007</v>
      </c>
      <c r="Q8" s="8">
        <f>COUNTIFS(suivi[entree.categorie],cotisation,suivi[membre.id],annuaire[[#This Row],[id]])</f>
        <v>0</v>
      </c>
      <c r="R8" s="9" t="str">
        <f>_xlfn.LET(_xlpm.der_pres,_xlfn.MINIFS(suivi[date],suivi[entree.categorie],cotisation,suivi[membre.id],annuaire[[#This Row],[id]]),
IF(_xlpm.der_pres=0,"",_xlpm.der_pres))</f>
        <v/>
      </c>
      <c r="S8" s="9" t="str">
        <f>_xlfn.LET(_xlpm.der_pres,_xlfn.MAXIFS(suivi[date],suivi[entree.categorie],cotisation,suivi[membre.id],annuaire[[#This Row],[id]]),
IF(_xlpm.der_pres=0,"",_xlpm.der_pres))</f>
        <v/>
      </c>
      <c r="T8" s="8">
        <f>COUNTIFS(suivi[entree.categorie],presence,suivi[membre.id],annuaire[[#This Row],[id]])</f>
        <v>0</v>
      </c>
      <c r="U8" s="9">
        <f>_xlfn.MAXIFS(suivi[date],suivi[membre.id],annuaire[[#This Row],[id]])</f>
        <v>0</v>
      </c>
      <c r="V8" s="8">
        <f>COUNTIFS(suivi[entree.categorie],presence,suivi[membre.id],annuaire[[#This Row],[id]],suivi['#support.saison_en_cours],1)</f>
        <v>0</v>
      </c>
      <c r="W8" s="8">
        <f>IF(COUNTIFS(suivi[entree.categorie],cotisation,suivi[membre.id],annuaire[[#This Row],[id]],suivi['#support.saison_en_cours],1)&gt;0,1,0)</f>
        <v>0</v>
      </c>
      <c r="X8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8" t="str" cm="1">
        <f t="array" ref="Y8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8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8" t="str" cm="1">
        <f t="array" ref="AA8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8" t="str" cm="1">
        <f t="array" ref="AB8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8" t="str" cm="1">
        <f t="array" ref="AC8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8" t="str">
        <f ca="1">IF(OR(annuaire[[#This Row],[saison.cotis]]=1,annuaire[[#This Row],[stats.der_activite]]&gt;EDATE(TODAY(),-12)),1,"")</f>
        <v/>
      </c>
      <c r="AE8" s="7" t="str">
        <f>IF(annuaire[[#This Row],[saison.presence]]=0,"",IF(annuaire[[#This Row],[saison.cotis]]=1," ", annuaire[[#This Row],[saison.presence]]))</f>
        <v/>
      </c>
      <c r="AF8" t="str">
        <f>IF(annuaire[[#This Row],[pseudo_discord]]="","",MATCH(annuaire[[#This Row],[pseudo_discord]],discord[name],0))</f>
        <v/>
      </c>
    </row>
    <row r="9" spans="1:32" x14ac:dyDescent="0.25">
      <c r="A9" s="10">
        <v>8</v>
      </c>
      <c r="B9" s="1">
        <f>_xlfn.MINIFS(suivi[date],suivi[membre.id],annuaire[[#This Row],[id]])</f>
        <v>0</v>
      </c>
      <c r="C9" t="str" cm="1">
        <f t="array" ref="C9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9" t="str" cm="1">
        <f t="array" ref="D9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9" s="1" t="str" cm="1">
        <f t="array" ref="E9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9" s="3" t="str" cm="1">
        <f t="array" ref="F9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9" t="str" cm="1">
        <f t="array" ref="G9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9" t="str" cm="1">
        <f t="array" ref="H9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9" t="str" cm="1">
        <f t="array" ref="I9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9" t="str" cm="1">
        <f t="array" ref="J9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9" t="str" cm="1">
        <f t="array" ref="K9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9" t="str" cm="1">
        <f t="array" ref="L9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9" s="5" t="str" cm="1">
        <f t="array" ref="M9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9" t="str" cm="1">
        <f t="array" ref="N9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9" t="str" cm="1">
        <f t="array" ref="O9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9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AJ-00008</v>
      </c>
      <c r="Q9" s="8">
        <f>COUNTIFS(suivi[entree.categorie],cotisation,suivi[membre.id],annuaire[[#This Row],[id]])</f>
        <v>0</v>
      </c>
      <c r="R9" s="9" t="str">
        <f>_xlfn.LET(_xlpm.der_pres,_xlfn.MINIFS(suivi[date],suivi[entree.categorie],cotisation,suivi[membre.id],annuaire[[#This Row],[id]]),
IF(_xlpm.der_pres=0,"",_xlpm.der_pres))</f>
        <v/>
      </c>
      <c r="S9" s="9" t="str">
        <f>_xlfn.LET(_xlpm.der_pres,_xlfn.MAXIFS(suivi[date],suivi[entree.categorie],cotisation,suivi[membre.id],annuaire[[#This Row],[id]]),
IF(_xlpm.der_pres=0,"",_xlpm.der_pres))</f>
        <v/>
      </c>
      <c r="T9" s="8">
        <f>COUNTIFS(suivi[entree.categorie],presence,suivi[membre.id],annuaire[[#This Row],[id]])</f>
        <v>0</v>
      </c>
      <c r="U9" s="9">
        <f>_xlfn.MAXIFS(suivi[date],suivi[membre.id],annuaire[[#This Row],[id]])</f>
        <v>0</v>
      </c>
      <c r="V9" s="8">
        <f>COUNTIFS(suivi[entree.categorie],presence,suivi[membre.id],annuaire[[#This Row],[id]],suivi['#support.saison_en_cours],1)</f>
        <v>0</v>
      </c>
      <c r="W9" s="8">
        <f>IF(COUNTIFS(suivi[entree.categorie],cotisation,suivi[membre.id],annuaire[[#This Row],[id]],suivi['#support.saison_en_cours],1)&gt;0,1,0)</f>
        <v>0</v>
      </c>
      <c r="X9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9" t="str" cm="1">
        <f t="array" ref="Y9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9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9" t="str" cm="1">
        <f t="array" ref="AA9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9" t="str" cm="1">
        <f t="array" ref="AB9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9" t="str" cm="1">
        <f t="array" ref="AC9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9" t="str">
        <f ca="1">IF(OR(annuaire[[#This Row],[saison.cotis]]=1,annuaire[[#This Row],[stats.der_activite]]&gt;EDATE(TODAY(),-12)),1,"")</f>
        <v/>
      </c>
      <c r="AE9" s="7" t="str">
        <f>IF(annuaire[[#This Row],[saison.presence]]=0,"",IF(annuaire[[#This Row],[saison.cotis]]=1," ", annuaire[[#This Row],[saison.presence]]))</f>
        <v/>
      </c>
      <c r="AF9" t="str">
        <f>IF(annuaire[[#This Row],[pseudo_discord]]="","",MATCH(annuaire[[#This Row],[pseudo_discord]],discord[name],0))</f>
        <v/>
      </c>
    </row>
    <row r="10" spans="1:32" x14ac:dyDescent="0.25">
      <c r="A10" s="10">
        <v>9</v>
      </c>
      <c r="B10" s="1">
        <f>_xlfn.MINIFS(suivi[date],suivi[membre.id],annuaire[[#This Row],[id]])</f>
        <v>0</v>
      </c>
      <c r="C10" t="str" cm="1">
        <f t="array" ref="C10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0" t="str" cm="1">
        <f t="array" ref="D10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0" s="1" t="str" cm="1">
        <f t="array" ref="E10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0" s="3" t="str" cm="1">
        <f t="array" ref="F10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0" t="str" cm="1">
        <f t="array" ref="G10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0" t="str" cm="1">
        <f t="array" ref="H10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0" s="2" t="str" cm="1">
        <f t="array" ref="I10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0" t="str" cm="1">
        <f t="array" ref="J10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0" t="str" cm="1">
        <f t="array" ref="K10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0" t="str" cm="1">
        <f t="array" ref="L10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0" s="5" t="str" cm="1">
        <f t="array" ref="M10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0" t="str" cm="1">
        <f t="array" ref="N10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0" t="str" cm="1">
        <f t="array" ref="O10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0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AJ-00009</v>
      </c>
      <c r="Q10" s="8">
        <f>COUNTIFS(suivi[entree.categorie],cotisation,suivi[membre.id],annuaire[[#This Row],[id]])</f>
        <v>0</v>
      </c>
      <c r="R10" s="9" t="str">
        <f>_xlfn.LET(_xlpm.der_pres,_xlfn.MINIFS(suivi[date],suivi[entree.categorie],cotisation,suivi[membre.id],annuaire[[#This Row],[id]]),
IF(_xlpm.der_pres=0,"",_xlpm.der_pres))</f>
        <v/>
      </c>
      <c r="S10" s="9" t="str">
        <f>_xlfn.LET(_xlpm.der_pres,_xlfn.MAXIFS(suivi[date],suivi[entree.categorie],cotisation,suivi[membre.id],annuaire[[#This Row],[id]]),
IF(_xlpm.der_pres=0,"",_xlpm.der_pres))</f>
        <v/>
      </c>
      <c r="T10" s="8">
        <f>COUNTIFS(suivi[entree.categorie],presence,suivi[membre.id],annuaire[[#This Row],[id]])</f>
        <v>0</v>
      </c>
      <c r="U10" s="9">
        <f>_xlfn.MAXIFS(suivi[date],suivi[membre.id],annuaire[[#This Row],[id]])</f>
        <v>0</v>
      </c>
      <c r="V10" s="8">
        <f>COUNTIFS(suivi[entree.categorie],presence,suivi[membre.id],annuaire[[#This Row],[id]],suivi['#support.saison_en_cours],1)</f>
        <v>0</v>
      </c>
      <c r="W10" s="8">
        <f>IF(COUNTIFS(suivi[entree.categorie],cotisation,suivi[membre.id],annuaire[[#This Row],[id]],suivi['#support.saison_en_cours],1)&gt;0,1,0)</f>
        <v>0</v>
      </c>
      <c r="X10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0" t="str" cm="1">
        <f t="array" ref="Y10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0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0" t="str" cm="1">
        <f t="array" ref="AA10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0" t="str" cm="1">
        <f t="array" ref="AB10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0" t="str" cm="1">
        <f t="array" ref="AC10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0" t="str">
        <f ca="1">IF(OR(annuaire[[#This Row],[saison.cotis]]=1,annuaire[[#This Row],[stats.der_activite]]&gt;EDATE(TODAY(),-12)),1,"")</f>
        <v/>
      </c>
      <c r="AE10" s="7" t="str">
        <f>IF(annuaire[[#This Row],[saison.presence]]=0,"",IF(annuaire[[#This Row],[saison.cotis]]=1," ", annuaire[[#This Row],[saison.presence]]))</f>
        <v/>
      </c>
      <c r="AF10" t="str">
        <f>IF(annuaire[[#This Row],[pseudo_discord]]="","",MATCH(annuaire[[#This Row],[pseudo_discord]],discord[name],0))</f>
        <v/>
      </c>
    </row>
    <row r="11" spans="1:32" x14ac:dyDescent="0.25">
      <c r="A11" s="10">
        <v>10</v>
      </c>
      <c r="B11" s="1">
        <f>_xlfn.MINIFS(suivi[date],suivi[membre.id],annuaire[[#This Row],[id]])</f>
        <v>0</v>
      </c>
      <c r="C11" t="str" cm="1">
        <f t="array" ref="C11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1" t="str" cm="1">
        <f t="array" ref="D11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1" s="1" t="str" cm="1">
        <f t="array" ref="E11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1" t="str" cm="1">
        <f t="array" ref="F11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1" t="str" cm="1">
        <f t="array" ref="G11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1" t="str" cm="1">
        <f t="array" ref="H11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1" t="str" cm="1">
        <f t="array" ref="I11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1" t="str" cm="1">
        <f t="array" ref="J11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1" t="str" cm="1">
        <f t="array" ref="K11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1" t="str" cm="1">
        <f t="array" ref="L11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1" s="5" t="str" cm="1">
        <f t="array" ref="M11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1" t="str" cm="1">
        <f t="array" ref="N11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1" t="str" cm="1">
        <f t="array" ref="O11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1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AJ-00010</v>
      </c>
      <c r="Q11" s="8">
        <f>COUNTIFS(suivi[entree.categorie],cotisation,suivi[membre.id],annuaire[[#This Row],[id]])</f>
        <v>0</v>
      </c>
      <c r="R11" s="9" t="str">
        <f>_xlfn.LET(_xlpm.der_pres,_xlfn.MINIFS(suivi[date],suivi[entree.categorie],cotisation,suivi[membre.id],annuaire[[#This Row],[id]]),
IF(_xlpm.der_pres=0,"",_xlpm.der_pres))</f>
        <v/>
      </c>
      <c r="S11" s="9" t="str">
        <f>_xlfn.LET(_xlpm.der_pres,_xlfn.MAXIFS(suivi[date],suivi[entree.categorie],cotisation,suivi[membre.id],annuaire[[#This Row],[id]]),
IF(_xlpm.der_pres=0,"",_xlpm.der_pres))</f>
        <v/>
      </c>
      <c r="T11" s="8">
        <f>COUNTIFS(suivi[entree.categorie],presence,suivi[membre.id],annuaire[[#This Row],[id]])</f>
        <v>0</v>
      </c>
      <c r="U11" s="9">
        <f>_xlfn.MAXIFS(suivi[date],suivi[membre.id],annuaire[[#This Row],[id]])</f>
        <v>0</v>
      </c>
      <c r="V11" s="8">
        <f>COUNTIFS(suivi[entree.categorie],presence,suivi[membre.id],annuaire[[#This Row],[id]],suivi['#support.saison_en_cours],1)</f>
        <v>0</v>
      </c>
      <c r="W11" s="8">
        <f>IF(COUNTIFS(suivi[entree.categorie],cotisation,suivi[membre.id],annuaire[[#This Row],[id]],suivi['#support.saison_en_cours],1)&gt;0,1,0)</f>
        <v>0</v>
      </c>
      <c r="X11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1" t="str" cm="1">
        <f t="array" ref="Y11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1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1" t="str" cm="1">
        <f t="array" ref="AA11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1" t="str" cm="1">
        <f t="array" ref="AB11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1" t="str" cm="1">
        <f t="array" ref="AC11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1" t="str">
        <f ca="1">IF(OR(annuaire[[#This Row],[saison.cotis]]=1,annuaire[[#This Row],[stats.der_activite]]&gt;EDATE(TODAY(),-12)),1,"")</f>
        <v/>
      </c>
      <c r="AE11" s="7" t="str">
        <f>IF(annuaire[[#This Row],[saison.presence]]=0,"",IF(annuaire[[#This Row],[saison.cotis]]=1," ", annuaire[[#This Row],[saison.presence]]))</f>
        <v/>
      </c>
      <c r="AF11" t="str">
        <f>IF(annuaire[[#This Row],[pseudo_discord]]="","",MATCH(annuaire[[#This Row],[pseudo_discord]],discord[name],0))</f>
        <v/>
      </c>
    </row>
    <row r="12" spans="1:32" x14ac:dyDescent="0.25">
      <c r="A12" s="10">
        <v>11</v>
      </c>
      <c r="B12" s="1">
        <f>_xlfn.MINIFS(suivi[date],suivi[membre.id],annuaire[[#This Row],[id]])</f>
        <v>0</v>
      </c>
      <c r="C12" t="str" cm="1">
        <f t="array" ref="C12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2" t="str" cm="1">
        <f t="array" ref="D12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2" s="1" t="str" cm="1">
        <f t="array" ref="E12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2" s="3" t="str" cm="1">
        <f t="array" ref="F12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2" t="str" cm="1">
        <f t="array" ref="G12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2" t="str" cm="1">
        <f t="array" ref="H12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2" t="str" cm="1">
        <f t="array" ref="I12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2" t="str" cm="1">
        <f t="array" ref="J12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2" t="str" cm="1">
        <f t="array" ref="K12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2" t="str" cm="1">
        <f t="array" ref="L12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2" s="5" t="str" cm="1">
        <f t="array" ref="M12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2" t="str" cm="1">
        <f t="array" ref="N12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2" t="str" cm="1">
        <f t="array" ref="O12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2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AJ-00011</v>
      </c>
      <c r="Q12" s="8">
        <f>COUNTIFS(suivi[entree.categorie],cotisation,suivi[membre.id],annuaire[[#This Row],[id]])</f>
        <v>0</v>
      </c>
      <c r="R12" s="9" t="str">
        <f>_xlfn.LET(_xlpm.der_pres,_xlfn.MINIFS(suivi[date],suivi[entree.categorie],cotisation,suivi[membre.id],annuaire[[#This Row],[id]]),
IF(_xlpm.der_pres=0,"",_xlpm.der_pres))</f>
        <v/>
      </c>
      <c r="S12" s="9" t="str">
        <f>_xlfn.LET(_xlpm.der_pres,_xlfn.MAXIFS(suivi[date],suivi[entree.categorie],cotisation,suivi[membre.id],annuaire[[#This Row],[id]]),
IF(_xlpm.der_pres=0,"",_xlpm.der_pres))</f>
        <v/>
      </c>
      <c r="T12" s="8">
        <f>COUNTIFS(suivi[entree.categorie],presence,suivi[membre.id],annuaire[[#This Row],[id]])</f>
        <v>0</v>
      </c>
      <c r="U12" s="9">
        <f>_xlfn.MAXIFS(suivi[date],suivi[membre.id],annuaire[[#This Row],[id]])</f>
        <v>0</v>
      </c>
      <c r="V12" s="8">
        <f>COUNTIFS(suivi[entree.categorie],presence,suivi[membre.id],annuaire[[#This Row],[id]],suivi['#support.saison_en_cours],1)</f>
        <v>0</v>
      </c>
      <c r="W12" s="8">
        <f>IF(COUNTIFS(suivi[entree.categorie],cotisation,suivi[membre.id],annuaire[[#This Row],[id]],suivi['#support.saison_en_cours],1)&gt;0,1,0)</f>
        <v>0</v>
      </c>
      <c r="X12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2" t="str" cm="1">
        <f t="array" ref="Y12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2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2" t="str" cm="1">
        <f t="array" ref="AA12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2" t="str" cm="1">
        <f t="array" ref="AB12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2" t="str" cm="1">
        <f t="array" ref="AC12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2" t="str">
        <f ca="1">IF(OR(annuaire[[#This Row],[saison.cotis]]=1,annuaire[[#This Row],[stats.der_activite]]&gt;EDATE(TODAY(),-12)),1,"")</f>
        <v/>
      </c>
      <c r="AE12" s="7" t="str">
        <f>IF(annuaire[[#This Row],[saison.presence]]=0,"",IF(annuaire[[#This Row],[saison.cotis]]=1," ", annuaire[[#This Row],[saison.presence]]))</f>
        <v/>
      </c>
      <c r="AF12" t="str">
        <f>IF(annuaire[[#This Row],[pseudo_discord]]="","",MATCH(annuaire[[#This Row],[pseudo_discord]],discord[name],0))</f>
        <v/>
      </c>
    </row>
    <row r="13" spans="1:32" x14ac:dyDescent="0.25">
      <c r="A13" s="10">
        <v>12</v>
      </c>
      <c r="B13" s="1">
        <f>_xlfn.MINIFS(suivi[date],suivi[membre.id],annuaire[[#This Row],[id]])</f>
        <v>0</v>
      </c>
      <c r="C13" t="str" cm="1">
        <f t="array" ref="C13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3" t="str" cm="1">
        <f t="array" ref="D13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3" s="1" t="str" cm="1">
        <f t="array" ref="E13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3" t="str" cm="1">
        <f t="array" ref="F13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3" t="str" cm="1">
        <f t="array" ref="G13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3" t="str" cm="1">
        <f t="array" ref="H13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3" s="2" t="str" cm="1">
        <f t="array" ref="I13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3" t="str" cm="1">
        <f t="array" ref="J13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3" t="str" cm="1">
        <f t="array" ref="K13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3" t="str" cm="1">
        <f t="array" ref="L13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3" s="5" t="str" cm="1">
        <f t="array" ref="M13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3" t="str" cm="1">
        <f t="array" ref="N13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3" t="str" cm="1">
        <f t="array" ref="O13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3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AJ-00012</v>
      </c>
      <c r="Q13" s="8">
        <f>COUNTIFS(suivi[entree.categorie],cotisation,suivi[membre.id],annuaire[[#This Row],[id]])</f>
        <v>0</v>
      </c>
      <c r="R13" s="9" t="str">
        <f>_xlfn.LET(_xlpm.der_pres,_xlfn.MINIFS(suivi[date],suivi[entree.categorie],cotisation,suivi[membre.id],annuaire[[#This Row],[id]]),
IF(_xlpm.der_pres=0,"",_xlpm.der_pres))</f>
        <v/>
      </c>
      <c r="S13" s="9" t="str">
        <f>_xlfn.LET(_xlpm.der_pres,_xlfn.MAXIFS(suivi[date],suivi[entree.categorie],cotisation,suivi[membre.id],annuaire[[#This Row],[id]]),
IF(_xlpm.der_pres=0,"",_xlpm.der_pres))</f>
        <v/>
      </c>
      <c r="T13" s="8">
        <f>COUNTIFS(suivi[entree.categorie],presence,suivi[membre.id],annuaire[[#This Row],[id]])</f>
        <v>0</v>
      </c>
      <c r="U13" s="9">
        <f>_xlfn.MAXIFS(suivi[date],suivi[membre.id],annuaire[[#This Row],[id]])</f>
        <v>0</v>
      </c>
      <c r="V13" s="8">
        <f>COUNTIFS(suivi[entree.categorie],presence,suivi[membre.id],annuaire[[#This Row],[id]],suivi['#support.saison_en_cours],1)</f>
        <v>0</v>
      </c>
      <c r="W13" s="8">
        <f>IF(COUNTIFS(suivi[entree.categorie],cotisation,suivi[membre.id],annuaire[[#This Row],[id]],suivi['#support.saison_en_cours],1)&gt;0,1,0)</f>
        <v>0</v>
      </c>
      <c r="X13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3" t="str" cm="1">
        <f t="array" ref="Y13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3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3" t="str" cm="1">
        <f t="array" ref="AA13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3" t="str" cm="1">
        <f t="array" ref="AB13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3" t="str" cm="1">
        <f t="array" ref="AC13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3" t="str">
        <f ca="1">IF(OR(annuaire[[#This Row],[saison.cotis]]=1,annuaire[[#This Row],[stats.der_activite]]&gt;EDATE(TODAY(),-12)),1,"")</f>
        <v/>
      </c>
      <c r="AE13" s="7" t="str">
        <f>IF(annuaire[[#This Row],[saison.presence]]=0,"",IF(annuaire[[#This Row],[saison.cotis]]=1," ", annuaire[[#This Row],[saison.presence]]))</f>
        <v/>
      </c>
      <c r="AF13" t="str">
        <f>IF(annuaire[[#This Row],[pseudo_discord]]="","",MATCH(annuaire[[#This Row],[pseudo_discord]],discord[name],0))</f>
        <v/>
      </c>
    </row>
    <row r="14" spans="1:32" x14ac:dyDescent="0.25">
      <c r="A14" s="10">
        <v>13</v>
      </c>
      <c r="B14" s="1">
        <f>_xlfn.MINIFS(suivi[date],suivi[membre.id],annuaire[[#This Row],[id]])</f>
        <v>0</v>
      </c>
      <c r="C14" t="str" cm="1">
        <f t="array" ref="C14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4" t="str" cm="1">
        <f t="array" ref="D14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4" s="1" t="str" cm="1">
        <f t="array" ref="E14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4" t="str" cm="1">
        <f t="array" ref="F14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4" t="str" cm="1">
        <f t="array" ref="G14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4" t="str" cm="1">
        <f t="array" ref="H14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4" s="2" t="str" cm="1">
        <f t="array" ref="I14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4" t="str" cm="1">
        <f t="array" ref="J14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4" t="str" cm="1">
        <f t="array" ref="K14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4" t="str" cm="1">
        <f t="array" ref="L14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4" s="5" t="str" cm="1">
        <f t="array" ref="M14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4" t="str" cm="1">
        <f t="array" ref="N14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4" t="str" cm="1">
        <f t="array" ref="O14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4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AJ-00013</v>
      </c>
      <c r="Q14" s="8">
        <f>COUNTIFS(suivi[entree.categorie],cotisation,suivi[membre.id],annuaire[[#This Row],[id]])</f>
        <v>0</v>
      </c>
      <c r="R14" s="9" t="str">
        <f>_xlfn.LET(_xlpm.der_pres,_xlfn.MINIFS(suivi[date],suivi[entree.categorie],cotisation,suivi[membre.id],annuaire[[#This Row],[id]]),
IF(_xlpm.der_pres=0,"",_xlpm.der_pres))</f>
        <v/>
      </c>
      <c r="S14" s="9" t="str">
        <f>_xlfn.LET(_xlpm.der_pres,_xlfn.MAXIFS(suivi[date],suivi[entree.categorie],cotisation,suivi[membre.id],annuaire[[#This Row],[id]]),
IF(_xlpm.der_pres=0,"",_xlpm.der_pres))</f>
        <v/>
      </c>
      <c r="T14" s="8">
        <f>COUNTIFS(suivi[entree.categorie],presence,suivi[membre.id],annuaire[[#This Row],[id]])</f>
        <v>0</v>
      </c>
      <c r="U14" s="9">
        <f>_xlfn.MAXIFS(suivi[date],suivi[membre.id],annuaire[[#This Row],[id]])</f>
        <v>0</v>
      </c>
      <c r="V14" s="8">
        <f>COUNTIFS(suivi[entree.categorie],presence,suivi[membre.id],annuaire[[#This Row],[id]],suivi['#support.saison_en_cours],1)</f>
        <v>0</v>
      </c>
      <c r="W14" s="8">
        <f>IF(COUNTIFS(suivi[entree.categorie],cotisation,suivi[membre.id],annuaire[[#This Row],[id]],suivi['#support.saison_en_cours],1)&gt;0,1,0)</f>
        <v>0</v>
      </c>
      <c r="X14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4" t="str" cm="1">
        <f t="array" ref="Y14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4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4" t="str" cm="1">
        <f t="array" ref="AA14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4" t="str" cm="1">
        <f t="array" ref="AB14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4" t="str" cm="1">
        <f t="array" ref="AC14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4" t="str">
        <f ca="1">IF(OR(annuaire[[#This Row],[saison.cotis]]=1,annuaire[[#This Row],[stats.der_activite]]&gt;EDATE(TODAY(),-12)),1,"")</f>
        <v/>
      </c>
      <c r="AE14" s="7" t="str">
        <f>IF(annuaire[[#This Row],[saison.presence]]=0,"",IF(annuaire[[#This Row],[saison.cotis]]=1," ", annuaire[[#This Row],[saison.presence]]))</f>
        <v/>
      </c>
      <c r="AF14" t="str">
        <f>IF(annuaire[[#This Row],[pseudo_discord]]="","",MATCH(annuaire[[#This Row],[pseudo_discord]],discord[name],0))</f>
        <v/>
      </c>
    </row>
    <row r="15" spans="1:32" x14ac:dyDescent="0.25">
      <c r="A15" s="10">
        <v>14</v>
      </c>
      <c r="B15" s="1">
        <f>_xlfn.MINIFS(suivi[date],suivi[membre.id],annuaire[[#This Row],[id]])</f>
        <v>0</v>
      </c>
      <c r="C15" t="str" cm="1">
        <f t="array" ref="C15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5" t="str" cm="1">
        <f t="array" ref="D15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5" s="1" t="str" cm="1">
        <f t="array" ref="E15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5" s="3" t="str" cm="1">
        <f t="array" ref="F15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5" t="str" cm="1">
        <f t="array" ref="G15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5" t="str" cm="1">
        <f t="array" ref="H15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5" s="2" t="str" cm="1">
        <f t="array" ref="I15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5" t="str" cm="1">
        <f t="array" ref="J15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5" t="str" cm="1">
        <f t="array" ref="K15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5" t="str" cm="1">
        <f t="array" ref="L15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5" s="5" t="str" cm="1">
        <f t="array" ref="M15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5" t="str" cm="1">
        <f t="array" ref="N15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5" t="str" cm="1">
        <f t="array" ref="O15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5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AJ-00014</v>
      </c>
      <c r="Q15" s="8">
        <f>COUNTIFS(suivi[entree.categorie],cotisation,suivi[membre.id],annuaire[[#This Row],[id]])</f>
        <v>0</v>
      </c>
      <c r="R15" s="9" t="str">
        <f>_xlfn.LET(_xlpm.der_pres,_xlfn.MINIFS(suivi[date],suivi[entree.categorie],cotisation,suivi[membre.id],annuaire[[#This Row],[id]]),
IF(_xlpm.der_pres=0,"",_xlpm.der_pres))</f>
        <v/>
      </c>
      <c r="S15" s="9" t="str">
        <f>_xlfn.LET(_xlpm.der_pres,_xlfn.MAXIFS(suivi[date],suivi[entree.categorie],cotisation,suivi[membre.id],annuaire[[#This Row],[id]]),
IF(_xlpm.der_pres=0,"",_xlpm.der_pres))</f>
        <v/>
      </c>
      <c r="T15" s="8">
        <f>COUNTIFS(suivi[entree.categorie],presence,suivi[membre.id],annuaire[[#This Row],[id]])</f>
        <v>0</v>
      </c>
      <c r="U15" s="9">
        <f>_xlfn.MAXIFS(suivi[date],suivi[membre.id],annuaire[[#This Row],[id]])</f>
        <v>0</v>
      </c>
      <c r="V15" s="8">
        <f>COUNTIFS(suivi[entree.categorie],presence,suivi[membre.id],annuaire[[#This Row],[id]],suivi['#support.saison_en_cours],1)</f>
        <v>0</v>
      </c>
      <c r="W15" s="8">
        <f>IF(COUNTIFS(suivi[entree.categorie],cotisation,suivi[membre.id],annuaire[[#This Row],[id]],suivi['#support.saison_en_cours],1)&gt;0,1,0)</f>
        <v>0</v>
      </c>
      <c r="X15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5" t="str" cm="1">
        <f t="array" ref="Y15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5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5" t="str" cm="1">
        <f t="array" ref="AA15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5" t="str" cm="1">
        <f t="array" ref="AB15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5" t="str" cm="1">
        <f t="array" ref="AC15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5" t="str">
        <f ca="1">IF(OR(annuaire[[#This Row],[saison.cotis]]=1,annuaire[[#This Row],[stats.der_activite]]&gt;EDATE(TODAY(),-12)),1,"")</f>
        <v/>
      </c>
      <c r="AE15" s="7" t="str">
        <f>IF(annuaire[[#This Row],[saison.presence]]=0,"",IF(annuaire[[#This Row],[saison.cotis]]=1," ", annuaire[[#This Row],[saison.presence]]))</f>
        <v/>
      </c>
      <c r="AF15" t="str">
        <f>IF(annuaire[[#This Row],[pseudo_discord]]="","",MATCH(annuaire[[#This Row],[pseudo_discord]],discord[name],0))</f>
        <v/>
      </c>
    </row>
    <row r="16" spans="1:32" x14ac:dyDescent="0.25">
      <c r="A16" s="10">
        <v>15</v>
      </c>
      <c r="B16" s="1">
        <f>_xlfn.MINIFS(suivi[date],suivi[membre.id],annuaire[[#This Row],[id]])</f>
        <v>0</v>
      </c>
      <c r="C16" t="str" cm="1">
        <f t="array" ref="C16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6" t="str" cm="1">
        <f t="array" ref="D16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6" s="1" t="str" cm="1">
        <f t="array" ref="E16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6" s="3" t="str" cm="1">
        <f t="array" ref="F16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6" t="str" cm="1">
        <f t="array" ref="G16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6" t="str" cm="1">
        <f t="array" ref="H16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6" t="str" cm="1">
        <f t="array" ref="I16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6" t="str" cm="1">
        <f t="array" ref="J16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6" t="str" cm="1">
        <f t="array" ref="K16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6" t="str" cm="1">
        <f t="array" ref="L16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6" s="5" t="str" cm="1">
        <f t="array" ref="M16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6" t="str" cm="1">
        <f t="array" ref="N16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6" t="str" cm="1">
        <f t="array" ref="O16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6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AJ-00015</v>
      </c>
      <c r="Q16" s="8">
        <f>COUNTIFS(suivi[entree.categorie],cotisation,suivi[membre.id],annuaire[[#This Row],[id]])</f>
        <v>0</v>
      </c>
      <c r="R16" s="9" t="str">
        <f>_xlfn.LET(_xlpm.der_pres,_xlfn.MINIFS(suivi[date],suivi[entree.categorie],cotisation,suivi[membre.id],annuaire[[#This Row],[id]]),
IF(_xlpm.der_pres=0,"",_xlpm.der_pres))</f>
        <v/>
      </c>
      <c r="S16" s="9" t="str">
        <f>_xlfn.LET(_xlpm.der_pres,_xlfn.MAXIFS(suivi[date],suivi[entree.categorie],cotisation,suivi[membre.id],annuaire[[#This Row],[id]]),
IF(_xlpm.der_pres=0,"",_xlpm.der_pres))</f>
        <v/>
      </c>
      <c r="T16" s="8">
        <f>COUNTIFS(suivi[entree.categorie],presence,suivi[membre.id],annuaire[[#This Row],[id]])</f>
        <v>0</v>
      </c>
      <c r="U16" s="9">
        <f>_xlfn.MAXIFS(suivi[date],suivi[membre.id],annuaire[[#This Row],[id]])</f>
        <v>0</v>
      </c>
      <c r="V16" s="8">
        <f>COUNTIFS(suivi[entree.categorie],presence,suivi[membre.id],annuaire[[#This Row],[id]],suivi['#support.saison_en_cours],1)</f>
        <v>0</v>
      </c>
      <c r="W16" s="8">
        <f>IF(COUNTIFS(suivi[entree.categorie],cotisation,suivi[membre.id],annuaire[[#This Row],[id]],suivi['#support.saison_en_cours],1)&gt;0,1,0)</f>
        <v>0</v>
      </c>
      <c r="X16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6" t="str" cm="1">
        <f t="array" ref="Y16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6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6" t="str" cm="1">
        <f t="array" ref="AA16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6" t="str" cm="1">
        <f t="array" ref="AB16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6" t="str" cm="1">
        <f t="array" ref="AC16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6" t="str">
        <f ca="1">IF(OR(annuaire[[#This Row],[saison.cotis]]=1,annuaire[[#This Row],[stats.der_activite]]&gt;EDATE(TODAY(),-12)),1,"")</f>
        <v/>
      </c>
      <c r="AE16" s="7" t="str">
        <f>IF(annuaire[[#This Row],[saison.presence]]=0,"",IF(annuaire[[#This Row],[saison.cotis]]=1," ", annuaire[[#This Row],[saison.presence]]))</f>
        <v/>
      </c>
      <c r="AF16" t="str">
        <f>IF(annuaire[[#This Row],[pseudo_discord]]="","",MATCH(annuaire[[#This Row],[pseudo_discord]],discord[name],0))</f>
        <v/>
      </c>
    </row>
    <row r="17" spans="1:32" x14ac:dyDescent="0.25">
      <c r="A17" s="10">
        <v>16</v>
      </c>
      <c r="B17" s="1">
        <f>_xlfn.MINIFS(suivi[date],suivi[membre.id],annuaire[[#This Row],[id]])</f>
        <v>0</v>
      </c>
      <c r="C17" t="str" cm="1">
        <f t="array" ref="C17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7" t="str" cm="1">
        <f t="array" ref="D17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7" s="1" t="str" cm="1">
        <f t="array" ref="E17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7" s="3" t="str" cm="1">
        <f t="array" ref="F17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7" t="str" cm="1">
        <f t="array" ref="G17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7" t="str" cm="1">
        <f t="array" ref="H17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7" s="2" t="str" cm="1">
        <f t="array" ref="I17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7" t="str" cm="1">
        <f t="array" ref="J17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7" t="str" cm="1">
        <f t="array" ref="K17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7" t="str" cm="1">
        <f t="array" ref="L17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7" s="5" t="str" cm="1">
        <f t="array" ref="M17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7" t="str" cm="1">
        <f t="array" ref="N17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7" t="str" cm="1">
        <f t="array" ref="O17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7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AJ-00016</v>
      </c>
      <c r="Q17" s="8">
        <f>COUNTIFS(suivi[entree.categorie],cotisation,suivi[membre.id],annuaire[[#This Row],[id]])</f>
        <v>0</v>
      </c>
      <c r="R17" s="9" t="str">
        <f>_xlfn.LET(_xlpm.der_pres,_xlfn.MINIFS(suivi[date],suivi[entree.categorie],cotisation,suivi[membre.id],annuaire[[#This Row],[id]]),
IF(_xlpm.der_pres=0,"",_xlpm.der_pres))</f>
        <v/>
      </c>
      <c r="S17" s="9" t="str">
        <f>_xlfn.LET(_xlpm.der_pres,_xlfn.MAXIFS(suivi[date],suivi[entree.categorie],cotisation,suivi[membre.id],annuaire[[#This Row],[id]]),
IF(_xlpm.der_pres=0,"",_xlpm.der_pres))</f>
        <v/>
      </c>
      <c r="T17" s="8">
        <f>COUNTIFS(suivi[entree.categorie],presence,suivi[membre.id],annuaire[[#This Row],[id]])</f>
        <v>0</v>
      </c>
      <c r="U17" s="9">
        <f>_xlfn.MAXIFS(suivi[date],suivi[membre.id],annuaire[[#This Row],[id]])</f>
        <v>0</v>
      </c>
      <c r="V17" s="8">
        <f>COUNTIFS(suivi[entree.categorie],presence,suivi[membre.id],annuaire[[#This Row],[id]],suivi['#support.saison_en_cours],1)</f>
        <v>0</v>
      </c>
      <c r="W17" s="8">
        <f>IF(COUNTIFS(suivi[entree.categorie],cotisation,suivi[membre.id],annuaire[[#This Row],[id]],suivi['#support.saison_en_cours],1)&gt;0,1,0)</f>
        <v>0</v>
      </c>
      <c r="X17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7" t="str" cm="1">
        <f t="array" ref="Y17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7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7" t="str" cm="1">
        <f t="array" ref="AA17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7" t="str" cm="1">
        <f t="array" ref="AB17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7" t="str" cm="1">
        <f t="array" ref="AC17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7" t="str">
        <f ca="1">IF(OR(annuaire[[#This Row],[saison.cotis]]=1,annuaire[[#This Row],[stats.der_activite]]&gt;EDATE(TODAY(),-12)),1,"")</f>
        <v/>
      </c>
      <c r="AE17" s="7" t="str">
        <f>IF(annuaire[[#This Row],[saison.presence]]=0,"",IF(annuaire[[#This Row],[saison.cotis]]=1," ", annuaire[[#This Row],[saison.presence]]))</f>
        <v/>
      </c>
      <c r="AF17" t="str">
        <f>IF(annuaire[[#This Row],[pseudo_discord]]="","",MATCH(annuaire[[#This Row],[pseudo_discord]],discord[name],0))</f>
        <v/>
      </c>
    </row>
    <row r="18" spans="1:32" x14ac:dyDescent="0.25">
      <c r="A18" s="10">
        <v>17</v>
      </c>
      <c r="B18" s="1">
        <f>_xlfn.MINIFS(suivi[date],suivi[membre.id],annuaire[[#This Row],[id]])</f>
        <v>0</v>
      </c>
      <c r="C18" t="str" cm="1">
        <f t="array" ref="C18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8" t="str" cm="1">
        <f t="array" ref="D18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8" s="1" t="str" cm="1">
        <f t="array" ref="E18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8" s="3" t="str" cm="1">
        <f t="array" ref="F18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8" t="str" cm="1">
        <f t="array" ref="G18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8" t="str" cm="1">
        <f t="array" ref="H18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8" t="str" cm="1">
        <f t="array" ref="I18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8" t="str" cm="1">
        <f t="array" ref="J18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8" t="str" cm="1">
        <f t="array" ref="K18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8" t="str" cm="1">
        <f t="array" ref="L18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8" s="5" t="str" cm="1">
        <f t="array" ref="M18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8" t="str" cm="1">
        <f t="array" ref="N18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8" t="str" cm="1">
        <f t="array" ref="O18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8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AJ-00017</v>
      </c>
      <c r="Q18" s="8">
        <f>COUNTIFS(suivi[entree.categorie],cotisation,suivi[membre.id],annuaire[[#This Row],[id]])</f>
        <v>0</v>
      </c>
      <c r="R18" s="9" t="str">
        <f>_xlfn.LET(_xlpm.der_pres,_xlfn.MINIFS(suivi[date],suivi[entree.categorie],cotisation,suivi[membre.id],annuaire[[#This Row],[id]]),
IF(_xlpm.der_pres=0,"",_xlpm.der_pres))</f>
        <v/>
      </c>
      <c r="S18" s="9" t="str">
        <f>_xlfn.LET(_xlpm.der_pres,_xlfn.MAXIFS(suivi[date],suivi[entree.categorie],cotisation,suivi[membre.id],annuaire[[#This Row],[id]]),
IF(_xlpm.der_pres=0,"",_xlpm.der_pres))</f>
        <v/>
      </c>
      <c r="T18" s="8">
        <f>COUNTIFS(suivi[entree.categorie],presence,suivi[membre.id],annuaire[[#This Row],[id]])</f>
        <v>0</v>
      </c>
      <c r="U18" s="9">
        <f>_xlfn.MAXIFS(suivi[date],suivi[membre.id],annuaire[[#This Row],[id]])</f>
        <v>0</v>
      </c>
      <c r="V18" s="8">
        <f>COUNTIFS(suivi[entree.categorie],presence,suivi[membre.id],annuaire[[#This Row],[id]],suivi['#support.saison_en_cours],1)</f>
        <v>0</v>
      </c>
      <c r="W18" s="8">
        <f>IF(COUNTIFS(suivi[entree.categorie],cotisation,suivi[membre.id],annuaire[[#This Row],[id]],suivi['#support.saison_en_cours],1)&gt;0,1,0)</f>
        <v>0</v>
      </c>
      <c r="X18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8" t="str" cm="1">
        <f t="array" ref="Y18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8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8" t="str" cm="1">
        <f t="array" ref="AA18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8" t="str" cm="1">
        <f t="array" ref="AB18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8" t="str" cm="1">
        <f t="array" ref="AC18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8" t="str">
        <f ca="1">IF(OR(annuaire[[#This Row],[saison.cotis]]=1,annuaire[[#This Row],[stats.der_activite]]&gt;EDATE(TODAY(),-12)),1,"")</f>
        <v/>
      </c>
      <c r="AE18" s="7" t="str">
        <f>IF(annuaire[[#This Row],[saison.presence]]=0,"",IF(annuaire[[#This Row],[saison.cotis]]=1," ", annuaire[[#This Row],[saison.presence]]))</f>
        <v/>
      </c>
      <c r="AF18" t="str">
        <f>IF(annuaire[[#This Row],[pseudo_discord]]="","",MATCH(annuaire[[#This Row],[pseudo_discord]],discord[name],0))</f>
        <v/>
      </c>
    </row>
    <row r="19" spans="1:32" x14ac:dyDescent="0.25">
      <c r="A19" s="10">
        <v>18</v>
      </c>
      <c r="B19" s="1">
        <f>_xlfn.MINIFS(suivi[date],suivi[membre.id],annuaire[[#This Row],[id]])</f>
        <v>0</v>
      </c>
      <c r="C19" t="str" cm="1">
        <f t="array" ref="C19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9" t="str" cm="1">
        <f t="array" ref="D19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9" s="1" t="str" cm="1">
        <f t="array" ref="E19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9" s="3" t="str" cm="1">
        <f t="array" ref="F19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9" t="str" cm="1">
        <f t="array" ref="G19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9" t="str" cm="1">
        <f t="array" ref="H19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9" t="str" cm="1">
        <f t="array" ref="I19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9" t="str" cm="1">
        <f t="array" ref="J19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9" t="str" cm="1">
        <f t="array" ref="K19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9" t="str" cm="1">
        <f t="array" ref="L19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9" s="5" t="str" cm="1">
        <f t="array" ref="M19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9" t="str" cm="1">
        <f t="array" ref="N19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9" t="str" cm="1">
        <f t="array" ref="O19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9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AJ-00018</v>
      </c>
      <c r="Q19" s="8">
        <f>COUNTIFS(suivi[entree.categorie],cotisation,suivi[membre.id],annuaire[[#This Row],[id]])</f>
        <v>0</v>
      </c>
      <c r="R19" s="9" t="str">
        <f>_xlfn.LET(_xlpm.der_pres,_xlfn.MINIFS(suivi[date],suivi[entree.categorie],cotisation,suivi[membre.id],annuaire[[#This Row],[id]]),
IF(_xlpm.der_pres=0,"",_xlpm.der_pres))</f>
        <v/>
      </c>
      <c r="S19" s="9" t="str">
        <f>_xlfn.LET(_xlpm.der_pres,_xlfn.MAXIFS(suivi[date],suivi[entree.categorie],cotisation,suivi[membre.id],annuaire[[#This Row],[id]]),
IF(_xlpm.der_pres=0,"",_xlpm.der_pres))</f>
        <v/>
      </c>
      <c r="T19" s="8">
        <f>COUNTIFS(suivi[entree.categorie],presence,suivi[membre.id],annuaire[[#This Row],[id]])</f>
        <v>0</v>
      </c>
      <c r="U19" s="9">
        <f>_xlfn.MAXIFS(suivi[date],suivi[membre.id],annuaire[[#This Row],[id]])</f>
        <v>0</v>
      </c>
      <c r="V19" s="8">
        <f>COUNTIFS(suivi[entree.categorie],presence,suivi[membre.id],annuaire[[#This Row],[id]],suivi['#support.saison_en_cours],1)</f>
        <v>0</v>
      </c>
      <c r="W19" s="8">
        <f>IF(COUNTIFS(suivi[entree.categorie],cotisation,suivi[membre.id],annuaire[[#This Row],[id]],suivi['#support.saison_en_cours],1)&gt;0,1,0)</f>
        <v>0</v>
      </c>
      <c r="X19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9" t="str" cm="1">
        <f t="array" ref="Y19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9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9" t="str" cm="1">
        <f t="array" ref="AA19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9" t="str" cm="1">
        <f t="array" ref="AB19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9" t="str" cm="1">
        <f t="array" ref="AC19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9" t="str">
        <f ca="1">IF(OR(annuaire[[#This Row],[saison.cotis]]=1,annuaire[[#This Row],[stats.der_activite]]&gt;EDATE(TODAY(),-12)),1,"")</f>
        <v/>
      </c>
      <c r="AE19" s="7" t="str">
        <f>IF(annuaire[[#This Row],[saison.presence]]=0,"",IF(annuaire[[#This Row],[saison.cotis]]=1," ", annuaire[[#This Row],[saison.presence]]))</f>
        <v/>
      </c>
      <c r="AF19" t="str">
        <f>IF(annuaire[[#This Row],[pseudo_discord]]="","",MATCH(annuaire[[#This Row],[pseudo_discord]],discord[name],0))</f>
        <v/>
      </c>
    </row>
    <row r="20" spans="1:32" x14ac:dyDescent="0.25">
      <c r="A20" s="10">
        <v>19</v>
      </c>
      <c r="B20" s="1">
        <f>_xlfn.MINIFS(suivi[date],suivi[membre.id],annuaire[[#This Row],[id]])</f>
        <v>0</v>
      </c>
      <c r="C20" t="str" cm="1">
        <f t="array" ref="C20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20" t="str" cm="1">
        <f t="array" ref="D20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20" s="1" t="str" cm="1">
        <f t="array" ref="E20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20" s="3" t="str" cm="1">
        <f t="array" ref="F20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20" t="str" cm="1">
        <f t="array" ref="G20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20" t="str" cm="1">
        <f t="array" ref="H20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20" t="str" cm="1">
        <f t="array" ref="I20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20" t="str" cm="1">
        <f t="array" ref="J20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20" t="str" cm="1">
        <f t="array" ref="K20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20" t="str" cm="1">
        <f t="array" ref="L20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20" s="5" t="str" cm="1">
        <f t="array" ref="M20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20" t="str" cm="1">
        <f t="array" ref="N20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20" t="str" cm="1">
        <f t="array" ref="O20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20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AJ-00019</v>
      </c>
      <c r="Q20" s="8">
        <f>COUNTIFS(suivi[entree.categorie],cotisation,suivi[membre.id],annuaire[[#This Row],[id]])</f>
        <v>0</v>
      </c>
      <c r="R20" s="9" t="str">
        <f>_xlfn.LET(_xlpm.der_pres,_xlfn.MINIFS(suivi[date],suivi[entree.categorie],cotisation,suivi[membre.id],annuaire[[#This Row],[id]]),
IF(_xlpm.der_pres=0,"",_xlpm.der_pres))</f>
        <v/>
      </c>
      <c r="S20" s="9" t="str">
        <f>_xlfn.LET(_xlpm.der_pres,_xlfn.MAXIFS(suivi[date],suivi[entree.categorie],cotisation,suivi[membre.id],annuaire[[#This Row],[id]]),
IF(_xlpm.der_pres=0,"",_xlpm.der_pres))</f>
        <v/>
      </c>
      <c r="T20" s="8">
        <f>COUNTIFS(suivi[entree.categorie],presence,suivi[membre.id],annuaire[[#This Row],[id]])</f>
        <v>0</v>
      </c>
      <c r="U20" s="9">
        <f>_xlfn.MAXIFS(suivi[date],suivi[membre.id],annuaire[[#This Row],[id]])</f>
        <v>0</v>
      </c>
      <c r="V20" s="8">
        <f>COUNTIFS(suivi[entree.categorie],presence,suivi[membre.id],annuaire[[#This Row],[id]],suivi['#support.saison_en_cours],1)</f>
        <v>0</v>
      </c>
      <c r="W20" s="8">
        <f>IF(COUNTIFS(suivi[entree.categorie],cotisation,suivi[membre.id],annuaire[[#This Row],[id]],suivi['#support.saison_en_cours],1)&gt;0,1,0)</f>
        <v>0</v>
      </c>
      <c r="X20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20" t="str" cm="1">
        <f t="array" ref="Y20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20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20" t="str" cm="1">
        <f t="array" ref="AA20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20" t="str" cm="1">
        <f t="array" ref="AB20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20" t="str" cm="1">
        <f t="array" ref="AC20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20" t="str">
        <f ca="1">IF(OR(annuaire[[#This Row],[saison.cotis]]=1,annuaire[[#This Row],[stats.der_activite]]&gt;EDATE(TODAY(),-12)),1,"")</f>
        <v/>
      </c>
      <c r="AE20" s="7" t="str">
        <f>IF(annuaire[[#This Row],[saison.presence]]=0,"",IF(annuaire[[#This Row],[saison.cotis]]=1," ", annuaire[[#This Row],[saison.presence]]))</f>
        <v/>
      </c>
      <c r="AF20" t="str">
        <f>IF(annuaire[[#This Row],[pseudo_discord]]="","",MATCH(annuaire[[#This Row],[pseudo_discord]],discord[name],0))</f>
        <v/>
      </c>
    </row>
    <row r="21" spans="1:32" x14ac:dyDescent="0.25">
      <c r="A21" s="10">
        <v>20</v>
      </c>
      <c r="B21" s="1">
        <f>_xlfn.MINIFS(suivi[date],suivi[membre.id],annuaire[[#This Row],[id]])</f>
        <v>0</v>
      </c>
      <c r="C21" t="str" cm="1">
        <f t="array" ref="C21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21" t="str" cm="1">
        <f t="array" ref="D21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21" s="1" t="str" cm="1">
        <f t="array" ref="E21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21" s="3" t="str" cm="1">
        <f t="array" ref="F21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21" t="str" cm="1">
        <f t="array" ref="G21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21" t="str" cm="1">
        <f t="array" ref="H21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21" t="str" cm="1">
        <f t="array" ref="I21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21" t="str" cm="1">
        <f t="array" ref="J21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21" t="str" cm="1">
        <f t="array" ref="K21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21" t="str" cm="1">
        <f t="array" ref="L21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21" s="5" t="str" cm="1">
        <f t="array" ref="M21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21" t="str" cm="1">
        <f t="array" ref="N21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21" t="str" cm="1">
        <f t="array" ref="O21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21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AJ-00020</v>
      </c>
      <c r="Q21" s="8">
        <f>COUNTIFS(suivi[entree.categorie],cotisation,suivi[membre.id],annuaire[[#This Row],[id]])</f>
        <v>0</v>
      </c>
      <c r="R21" s="9" t="str">
        <f>_xlfn.LET(_xlpm.der_pres,_xlfn.MINIFS(suivi[date],suivi[entree.categorie],cotisation,suivi[membre.id],annuaire[[#This Row],[id]]),
IF(_xlpm.der_pres=0,"",_xlpm.der_pres))</f>
        <v/>
      </c>
      <c r="S21" s="9" t="str">
        <f>_xlfn.LET(_xlpm.der_pres,_xlfn.MAXIFS(suivi[date],suivi[entree.categorie],cotisation,suivi[membre.id],annuaire[[#This Row],[id]]),
IF(_xlpm.der_pres=0,"",_xlpm.der_pres))</f>
        <v/>
      </c>
      <c r="T21" s="8">
        <f>COUNTIFS(suivi[entree.categorie],presence,suivi[membre.id],annuaire[[#This Row],[id]])</f>
        <v>0</v>
      </c>
      <c r="U21" s="9">
        <f>_xlfn.MAXIFS(suivi[date],suivi[membre.id],annuaire[[#This Row],[id]])</f>
        <v>0</v>
      </c>
      <c r="V21" s="8">
        <f>COUNTIFS(suivi[entree.categorie],presence,suivi[membre.id],annuaire[[#This Row],[id]],suivi['#support.saison_en_cours],1)</f>
        <v>0</v>
      </c>
      <c r="W21" s="8">
        <f>IF(COUNTIFS(suivi[entree.categorie],cotisation,suivi[membre.id],annuaire[[#This Row],[id]],suivi['#support.saison_en_cours],1)&gt;0,1,0)</f>
        <v>0</v>
      </c>
      <c r="X21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21" t="str" cm="1">
        <f t="array" ref="Y21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21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21" t="str" cm="1">
        <f t="array" ref="AA21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21" t="str" cm="1">
        <f t="array" ref="AB21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21" t="str" cm="1">
        <f t="array" ref="AC21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21" t="str">
        <f ca="1">IF(OR(annuaire[[#This Row],[saison.cotis]]=1,annuaire[[#This Row],[stats.der_activite]]&gt;EDATE(TODAY(),-12)),1,"")</f>
        <v/>
      </c>
      <c r="AE21" s="7" t="str">
        <f>IF(annuaire[[#This Row],[saison.presence]]=0,"",IF(annuaire[[#This Row],[saison.cotis]]=1," ", annuaire[[#This Row],[saison.presence]]))</f>
        <v/>
      </c>
      <c r="AF21" t="str">
        <f>IF(annuaire[[#This Row],[pseudo_discord]]="","",MATCH(annuaire[[#This Row],[pseudo_discord]],discord[name],0))</f>
        <v/>
      </c>
    </row>
  </sheetData>
  <phoneticPr fontId="2" type="noConversion"/>
  <conditionalFormatting sqref="A1:XFD1048576">
    <cfRule type="expression" dxfId="4" priority="1">
      <formula>_xlfn.ISFORMULA(A1)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FA8C-1924-43B5-BC4D-89DEC66419A5}">
  <dimension ref="A1:F15"/>
  <sheetViews>
    <sheetView workbookViewId="0">
      <selection activeCell="A2" sqref="A2"/>
    </sheetView>
  </sheetViews>
  <sheetFormatPr defaultRowHeight="15" x14ac:dyDescent="0.25"/>
  <cols>
    <col min="1" max="1" width="15.28515625" bestFit="1" customWidth="1"/>
    <col min="2" max="3" width="10.7109375" bestFit="1" customWidth="1"/>
    <col min="4" max="4" width="10.7109375" customWidth="1"/>
    <col min="5" max="5" width="16.7109375" bestFit="1" customWidth="1"/>
    <col min="6" max="6" width="15.7109375" bestFit="1" customWidth="1"/>
  </cols>
  <sheetData>
    <row r="1" spans="1:6" x14ac:dyDescent="0.25">
      <c r="A1" s="6" t="s">
        <v>545</v>
      </c>
    </row>
    <row r="2" spans="1:6" ht="15.75" thickBot="1" x14ac:dyDescent="0.3">
      <c r="A2" s="17" t="s">
        <v>478</v>
      </c>
      <c r="B2" s="18">
        <f>INDEX(saisons[debut],MATCH(saison_en_cours,saisons[nom],0))</f>
        <v>45901</v>
      </c>
      <c r="C2" s="18">
        <f>INDEX(saisons[fin],MATCH(saison_en_cours,saisons[nom],0))</f>
        <v>46265</v>
      </c>
      <c r="D2" s="1"/>
      <c r="E2" s="1"/>
      <c r="F2" s="1"/>
    </row>
    <row r="4" spans="1:6" x14ac:dyDescent="0.25">
      <c r="A4" t="s">
        <v>8</v>
      </c>
      <c r="B4" t="s">
        <v>543</v>
      </c>
      <c r="C4" t="s">
        <v>544</v>
      </c>
    </row>
    <row r="5" spans="1:6" x14ac:dyDescent="0.25">
      <c r="A5" t="s">
        <v>670</v>
      </c>
      <c r="B5" s="1">
        <v>42370</v>
      </c>
      <c r="C5" s="1">
        <v>42613</v>
      </c>
      <c r="D5" s="1"/>
      <c r="E5" s="1"/>
      <c r="F5" s="1"/>
    </row>
    <row r="6" spans="1:6" x14ac:dyDescent="0.25">
      <c r="A6" t="s">
        <v>671</v>
      </c>
      <c r="B6" s="1">
        <v>42614</v>
      </c>
      <c r="C6" s="1">
        <v>42978</v>
      </c>
      <c r="D6" s="1"/>
      <c r="E6" s="1"/>
      <c r="F6" s="1"/>
    </row>
    <row r="7" spans="1:6" x14ac:dyDescent="0.25">
      <c r="A7" t="s">
        <v>672</v>
      </c>
      <c r="B7" s="1">
        <v>42979</v>
      </c>
      <c r="C7" s="1">
        <v>43343</v>
      </c>
      <c r="D7" s="1"/>
      <c r="E7" s="1"/>
      <c r="F7" s="1"/>
    </row>
    <row r="8" spans="1:6" x14ac:dyDescent="0.25">
      <c r="A8" t="s">
        <v>673</v>
      </c>
      <c r="B8" s="1">
        <v>43344</v>
      </c>
      <c r="C8" s="1">
        <v>43708</v>
      </c>
      <c r="D8" s="1"/>
      <c r="E8" s="1"/>
      <c r="F8" s="1"/>
    </row>
    <row r="9" spans="1:6" x14ac:dyDescent="0.25">
      <c r="A9" t="s">
        <v>674</v>
      </c>
      <c r="B9" s="1">
        <v>43709</v>
      </c>
      <c r="C9" s="1">
        <v>44074</v>
      </c>
      <c r="D9" s="1"/>
      <c r="E9" s="1"/>
      <c r="F9" s="1"/>
    </row>
    <row r="10" spans="1:6" x14ac:dyDescent="0.25">
      <c r="A10" t="s">
        <v>675</v>
      </c>
      <c r="B10" s="1">
        <v>44075</v>
      </c>
      <c r="C10" s="1">
        <v>44439</v>
      </c>
      <c r="D10" s="1"/>
      <c r="E10" s="1"/>
      <c r="F10" s="1"/>
    </row>
    <row r="11" spans="1:6" x14ac:dyDescent="0.25">
      <c r="A11" t="s">
        <v>676</v>
      </c>
      <c r="B11" s="1">
        <v>44440</v>
      </c>
      <c r="C11" s="1">
        <v>44804</v>
      </c>
      <c r="D11" s="1"/>
      <c r="E11" s="1"/>
      <c r="F11" s="1"/>
    </row>
    <row r="12" spans="1:6" x14ac:dyDescent="0.25">
      <c r="A12" t="s">
        <v>677</v>
      </c>
      <c r="B12" s="1">
        <v>44805</v>
      </c>
      <c r="C12" s="1">
        <v>45169</v>
      </c>
      <c r="D12" s="1"/>
      <c r="E12" s="1"/>
      <c r="F12" s="1"/>
    </row>
    <row r="13" spans="1:6" x14ac:dyDescent="0.25">
      <c r="A13" t="s">
        <v>678</v>
      </c>
      <c r="B13" s="1">
        <v>45170</v>
      </c>
      <c r="C13" s="1">
        <v>45535</v>
      </c>
      <c r="D13" s="1"/>
      <c r="E13" s="1"/>
      <c r="F13" s="1"/>
    </row>
    <row r="14" spans="1:6" x14ac:dyDescent="0.25">
      <c r="A14" t="s">
        <v>263</v>
      </c>
      <c r="B14" s="1">
        <v>45536</v>
      </c>
      <c r="C14" s="1">
        <v>45900</v>
      </c>
      <c r="D14" s="1"/>
      <c r="E14" s="1"/>
      <c r="F14" s="1"/>
    </row>
    <row r="15" spans="1:6" x14ac:dyDescent="0.25">
      <c r="A15" t="s">
        <v>478</v>
      </c>
      <c r="B15" s="1">
        <v>45901</v>
      </c>
      <c r="C15" s="1">
        <v>46265</v>
      </c>
      <c r="D15" s="1"/>
      <c r="E15" s="1"/>
      <c r="F15" s="1"/>
    </row>
  </sheetData>
  <conditionalFormatting sqref="A1:XFD1048576">
    <cfRule type="expression" dxfId="3" priority="1">
      <formula>_xlfn.ISFORMULA(A1)</formula>
    </cfRule>
  </conditionalFormatting>
  <dataValidations count="1">
    <dataValidation type="list" allowBlank="1" showInputMessage="1" showErrorMessage="1" sqref="A2" xr:uid="{E1AE6EB3-04F8-4B1B-AC14-AD78A9A4786B}">
      <formula1>INDIRECT("saisons[nom]")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12"/>
  <sheetViews>
    <sheetView topLeftCell="C1" workbookViewId="0">
      <selection activeCell="T1" sqref="T1"/>
    </sheetView>
  </sheetViews>
  <sheetFormatPr defaultRowHeight="15" x14ac:dyDescent="0.25"/>
  <cols>
    <col min="1" max="1" width="12.5703125" bestFit="1" customWidth="1"/>
    <col min="3" max="3" width="27.28515625" bestFit="1" customWidth="1"/>
    <col min="5" max="5" width="19.42578125" bestFit="1" customWidth="1"/>
    <col min="6" max="6" width="20.28515625" bestFit="1" customWidth="1"/>
    <col min="8" max="8" width="9.7109375" bestFit="1" customWidth="1"/>
    <col min="10" max="10" width="23.28515625" bestFit="1" customWidth="1"/>
    <col min="11" max="11" width="19.42578125" bestFit="1" customWidth="1"/>
    <col min="12" max="12" width="13.28515625" bestFit="1" customWidth="1"/>
    <col min="13" max="13" width="19.85546875" bestFit="1" customWidth="1"/>
    <col min="14" max="14" width="14.85546875" bestFit="1" customWidth="1"/>
    <col min="15" max="15" width="13.42578125" bestFit="1" customWidth="1"/>
    <col min="16" max="16" width="11.42578125" bestFit="1" customWidth="1"/>
  </cols>
  <sheetData>
    <row r="1" spans="1:21" x14ac:dyDescent="0.25">
      <c r="A1" t="s">
        <v>617</v>
      </c>
      <c r="C1" t="s">
        <v>617</v>
      </c>
      <c r="E1" t="s">
        <v>617</v>
      </c>
      <c r="F1" t="s">
        <v>217</v>
      </c>
      <c r="H1" t="s">
        <v>617</v>
      </c>
      <c r="J1" t="s">
        <v>382</v>
      </c>
      <c r="K1" t="s">
        <v>383</v>
      </c>
      <c r="L1" t="s">
        <v>639</v>
      </c>
      <c r="M1" t="s">
        <v>643</v>
      </c>
      <c r="N1" t="s">
        <v>640</v>
      </c>
      <c r="O1" t="s">
        <v>641</v>
      </c>
      <c r="P1" t="s">
        <v>642</v>
      </c>
      <c r="R1" t="s">
        <v>617</v>
      </c>
      <c r="T1" t="str" cm="1">
        <f t="array" ref="T1:T20">_xlfn._xlws.SORT(_xlfn.UNIQUE(_xlfn._xlws.FILTER(annuaire[nom_userfriendly],annuaire[nom_userfriendly]&lt;&gt;"")))</f>
        <v>[discord] VbrBot</v>
      </c>
      <c r="U1" t="str" cm="1">
        <f t="array" ref="U1:U22">_xlfn._xlws.SORT(_xlfn.UNIQUE(_xlfn._xlws.FILTER(suivi[entree.nom],suivi[entree.nom]&lt;&gt;"")))</f>
        <v>2015-2016</v>
      </c>
    </row>
    <row r="2" spans="1:21" x14ac:dyDescent="0.25">
      <c r="A2" t="s">
        <v>6</v>
      </c>
      <c r="C2" t="s">
        <v>205</v>
      </c>
      <c r="E2" t="s">
        <v>619</v>
      </c>
      <c r="F2" s="22" t="s">
        <v>650</v>
      </c>
      <c r="H2" t="s">
        <v>438</v>
      </c>
      <c r="J2" t="s">
        <v>215</v>
      </c>
      <c r="K2" t="s">
        <v>655</v>
      </c>
      <c r="L2" t="b">
        <v>1</v>
      </c>
      <c r="O2" t="b">
        <v>1</v>
      </c>
      <c r="P2" t="b">
        <v>1</v>
      </c>
      <c r="R2" t="s">
        <v>251</v>
      </c>
      <c r="T2" t="str">
        <v>AJ-00003</v>
      </c>
      <c r="U2" t="str">
        <v>2016-2017</v>
      </c>
    </row>
    <row r="3" spans="1:21" x14ac:dyDescent="0.25">
      <c r="A3" t="s">
        <v>7</v>
      </c>
      <c r="C3" t="s">
        <v>473</v>
      </c>
      <c r="E3" t="s">
        <v>618</v>
      </c>
      <c r="F3" s="22" t="s">
        <v>654</v>
      </c>
      <c r="H3" t="s">
        <v>5</v>
      </c>
      <c r="J3" t="s">
        <v>212</v>
      </c>
      <c r="K3" t="s">
        <v>618</v>
      </c>
      <c r="L3" t="b">
        <v>1</v>
      </c>
      <c r="O3" t="b">
        <v>1</v>
      </c>
      <c r="P3" t="b">
        <v>0</v>
      </c>
      <c r="R3" t="s">
        <v>252</v>
      </c>
      <c r="T3" t="str">
        <v>AJ-00005</v>
      </c>
      <c r="U3" t="str">
        <v>2017-2018</v>
      </c>
    </row>
    <row r="4" spans="1:21" x14ac:dyDescent="0.25">
      <c r="A4" t="s">
        <v>0</v>
      </c>
      <c r="C4" t="s">
        <v>206</v>
      </c>
      <c r="E4" t="s">
        <v>537</v>
      </c>
      <c r="F4" s="22" t="s">
        <v>656</v>
      </c>
      <c r="H4" t="s">
        <v>261</v>
      </c>
      <c r="J4" t="s">
        <v>214</v>
      </c>
      <c r="K4" t="s">
        <v>618</v>
      </c>
      <c r="L4" t="b">
        <v>1</v>
      </c>
      <c r="O4" t="b">
        <v>1</v>
      </c>
      <c r="P4" t="b">
        <v>0</v>
      </c>
      <c r="R4" t="s">
        <v>253</v>
      </c>
      <c r="T4" t="str">
        <v>AJ-00006</v>
      </c>
      <c r="U4" t="str">
        <v>2018-2019</v>
      </c>
    </row>
    <row r="5" spans="1:21" x14ac:dyDescent="0.25">
      <c r="A5" t="s">
        <v>441</v>
      </c>
      <c r="C5" t="s">
        <v>207</v>
      </c>
      <c r="E5" t="s">
        <v>517</v>
      </c>
      <c r="F5" s="22" t="s">
        <v>658</v>
      </c>
      <c r="H5" t="s">
        <v>264</v>
      </c>
      <c r="J5" t="s">
        <v>213</v>
      </c>
      <c r="K5" t="s">
        <v>618</v>
      </c>
      <c r="L5" t="b">
        <v>1</v>
      </c>
      <c r="O5" t="b">
        <v>1</v>
      </c>
      <c r="P5" t="b">
        <v>0</v>
      </c>
      <c r="R5" t="s">
        <v>254</v>
      </c>
      <c r="T5" t="str">
        <v>AJ-00007</v>
      </c>
      <c r="U5" t="str">
        <v>2019-2020</v>
      </c>
    </row>
    <row r="6" spans="1:21" x14ac:dyDescent="0.25">
      <c r="A6" t="s">
        <v>262</v>
      </c>
      <c r="C6" t="s">
        <v>208</v>
      </c>
      <c r="E6" t="s">
        <v>538</v>
      </c>
      <c r="F6" s="22" t="s">
        <v>659</v>
      </c>
      <c r="J6" t="s">
        <v>211</v>
      </c>
      <c r="K6" t="s">
        <v>618</v>
      </c>
      <c r="L6" t="b">
        <v>1</v>
      </c>
      <c r="O6" t="b">
        <v>1</v>
      </c>
      <c r="P6" t="b">
        <v>0</v>
      </c>
      <c r="R6" t="s">
        <v>255</v>
      </c>
      <c r="T6" t="str">
        <v>AJ-00008</v>
      </c>
      <c r="U6" t="str">
        <v>2020-2021</v>
      </c>
    </row>
    <row r="7" spans="1:21" x14ac:dyDescent="0.25">
      <c r="A7" t="s">
        <v>608</v>
      </c>
      <c r="E7" t="s">
        <v>355</v>
      </c>
      <c r="F7" s="22" t="s">
        <v>657</v>
      </c>
      <c r="J7" t="s">
        <v>216</v>
      </c>
      <c r="K7" t="s">
        <v>618</v>
      </c>
      <c r="L7" t="b">
        <v>1</v>
      </c>
      <c r="O7" t="b">
        <v>1</v>
      </c>
      <c r="P7" t="b">
        <v>0</v>
      </c>
      <c r="R7" t="s">
        <v>256</v>
      </c>
      <c r="T7" t="str">
        <v>AJ-00009</v>
      </c>
      <c r="U7" t="str">
        <v>2021-2022</v>
      </c>
    </row>
    <row r="8" spans="1:21" x14ac:dyDescent="0.25">
      <c r="A8" t="s">
        <v>620</v>
      </c>
      <c r="E8" t="s">
        <v>575</v>
      </c>
      <c r="F8" s="22" t="s">
        <v>660</v>
      </c>
      <c r="J8" t="s">
        <v>645</v>
      </c>
      <c r="K8" t="s">
        <v>537</v>
      </c>
      <c r="L8" t="b">
        <v>1</v>
      </c>
      <c r="M8" t="b">
        <v>0</v>
      </c>
      <c r="N8" t="b">
        <v>1</v>
      </c>
      <c r="R8" t="s">
        <v>257</v>
      </c>
      <c r="T8" t="str">
        <v>AJ-00010</v>
      </c>
      <c r="U8" t="str">
        <v>2022-2023</v>
      </c>
    </row>
    <row r="9" spans="1:21" x14ac:dyDescent="0.25">
      <c r="B9" t="s">
        <v>617</v>
      </c>
      <c r="E9" s="24" t="s">
        <v>594</v>
      </c>
      <c r="F9" s="23" t="s">
        <v>644</v>
      </c>
      <c r="J9" t="s">
        <v>646</v>
      </c>
      <c r="K9" t="s">
        <v>517</v>
      </c>
      <c r="L9" t="b">
        <v>1</v>
      </c>
      <c r="M9" t="b">
        <v>1</v>
      </c>
      <c r="N9" t="b">
        <v>0</v>
      </c>
      <c r="R9" t="s">
        <v>258</v>
      </c>
      <c r="T9" t="str">
        <v>AJ-00011</v>
      </c>
      <c r="U9" t="str">
        <v>2023-2024</v>
      </c>
    </row>
    <row r="10" spans="1:21" x14ac:dyDescent="0.25">
      <c r="B10" t="s">
        <v>613</v>
      </c>
      <c r="J10" t="s">
        <v>210</v>
      </c>
      <c r="K10" t="s">
        <v>538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R10" t="s">
        <v>437</v>
      </c>
      <c r="T10" t="str">
        <v>AJ-00012</v>
      </c>
      <c r="U10" t="str">
        <v>2024-2025</v>
      </c>
    </row>
    <row r="11" spans="1:21" x14ac:dyDescent="0.25">
      <c r="B11" t="s">
        <v>614</v>
      </c>
      <c r="J11" t="s">
        <v>647</v>
      </c>
      <c r="K11" t="s">
        <v>355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T11" t="str">
        <v>AJ-00013</v>
      </c>
      <c r="U11" t="str">
        <v>2025-2026</v>
      </c>
    </row>
    <row r="12" spans="1:21" x14ac:dyDescent="0.25">
      <c r="B12" t="s">
        <v>615</v>
      </c>
      <c r="J12" t="s">
        <v>661</v>
      </c>
      <c r="K12" t="s">
        <v>575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T12" t="str">
        <v>AJ-00014</v>
      </c>
      <c r="U12" t="str">
        <v>Assemblée Générale 2024</v>
      </c>
    </row>
    <row r="13" spans="1:21" x14ac:dyDescent="0.25">
      <c r="B13" t="s">
        <v>208</v>
      </c>
      <c r="J13" t="s">
        <v>209</v>
      </c>
      <c r="K13" t="s">
        <v>594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T13" t="str">
        <v>AJ-00015</v>
      </c>
      <c r="U13" t="str">
        <v>Assemblée Générale 2025</v>
      </c>
    </row>
    <row r="14" spans="1:21" x14ac:dyDescent="0.25">
      <c r="B14" t="s">
        <v>616</v>
      </c>
      <c r="T14" t="str">
        <v>AJ-00016</v>
      </c>
      <c r="U14" t="str">
        <v>Epiphanie 2024</v>
      </c>
    </row>
    <row r="15" spans="1:21" x14ac:dyDescent="0.25">
      <c r="J15" s="1"/>
      <c r="T15" t="str">
        <v>AJ-00017</v>
      </c>
      <c r="U15" t="str">
        <v>Epiphanie 2025</v>
      </c>
    </row>
    <row r="16" spans="1:21" x14ac:dyDescent="0.25">
      <c r="J16" s="1"/>
      <c r="K16" s="1"/>
      <c r="L16" s="1"/>
      <c r="M16" s="1"/>
      <c r="N16" s="1"/>
      <c r="O16" s="1"/>
      <c r="P16" s="1"/>
      <c r="T16" t="str">
        <v>AJ-00018</v>
      </c>
      <c r="U16" t="str">
        <v>Epiphanie 2026</v>
      </c>
    </row>
    <row r="17" spans="2:21" x14ac:dyDescent="0.25">
      <c r="T17" t="str">
        <v>AJ-00019</v>
      </c>
      <c r="U17" t="str">
        <v>Forum associations 2019</v>
      </c>
    </row>
    <row r="18" spans="2:21" x14ac:dyDescent="0.25">
      <c r="I18" s="1"/>
      <c r="Q18" s="1"/>
      <c r="T18" t="str">
        <v>AJ-00020</v>
      </c>
      <c r="U18" t="str">
        <v>Forum associations 2023</v>
      </c>
    </row>
    <row r="19" spans="2:21" x14ac:dyDescent="0.25">
      <c r="I19" s="1"/>
      <c r="Q19" s="1"/>
      <c r="T19" t="str">
        <v>Bon Jean</v>
      </c>
      <c r="U19" t="str">
        <v>Forum associations 2024</v>
      </c>
    </row>
    <row r="20" spans="2:21" x14ac:dyDescent="0.25">
      <c r="I20" s="1"/>
      <c r="Q20" s="1"/>
      <c r="T20" t="str">
        <v>Dupont Marie</v>
      </c>
      <c r="U20" t="str">
        <v>Forum associations 2025</v>
      </c>
    </row>
    <row r="21" spans="2:21" x14ac:dyDescent="0.25">
      <c r="I21" s="1"/>
      <c r="Q21" s="1"/>
      <c r="U21" t="str">
        <v>Soirée Jeux Duo</v>
      </c>
    </row>
    <row r="22" spans="2:21" x14ac:dyDescent="0.25">
      <c r="I22" s="1"/>
      <c r="Q22" s="1"/>
      <c r="U22" t="str">
        <v>Soirée Jeux Halloween</v>
      </c>
    </row>
    <row r="23" spans="2:21" x14ac:dyDescent="0.25">
      <c r="I23" s="1"/>
      <c r="Q23" s="1"/>
    </row>
    <row r="24" spans="2:21" x14ac:dyDescent="0.25">
      <c r="I24" s="1"/>
      <c r="Q24" s="1"/>
    </row>
    <row r="25" spans="2:21" x14ac:dyDescent="0.25">
      <c r="I25" s="1"/>
      <c r="Q25" s="1"/>
    </row>
    <row r="26" spans="2:21" x14ac:dyDescent="0.25">
      <c r="I26" s="1"/>
      <c r="Q26" s="1"/>
    </row>
    <row r="27" spans="2:21" x14ac:dyDescent="0.25">
      <c r="I27" s="1"/>
      <c r="Q27" s="1"/>
    </row>
    <row r="28" spans="2:21" x14ac:dyDescent="0.25">
      <c r="B28" s="1"/>
      <c r="I28" s="1"/>
      <c r="Q28" s="1"/>
    </row>
    <row r="29" spans="2:21" x14ac:dyDescent="0.25">
      <c r="B29" s="1"/>
    </row>
    <row r="30" spans="2:21" x14ac:dyDescent="0.25">
      <c r="B30" s="1"/>
    </row>
    <row r="31" spans="2:21" x14ac:dyDescent="0.25">
      <c r="B31" s="1"/>
    </row>
    <row r="32" spans="2:21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</sheetData>
  <conditionalFormatting sqref="A1:XFD1048576">
    <cfRule type="expression" dxfId="2" priority="1">
      <formula>_xlfn.ISFORMULA(A1)</formula>
    </cfRule>
  </conditionalFormatting>
  <dataValidations count="1">
    <dataValidation type="list" allowBlank="1" showInputMessage="1" sqref="K2:K13" xr:uid="{0064D2B6-6EB7-4BEF-9EEA-3D8314516F7D}">
      <formula1>INDIRECT("discord_role[val]")</formula1>
    </dataValidation>
  </dataValidation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5844-7935-4CC7-980A-1F50704B6987}">
  <sheetPr>
    <tabColor rgb="FF7030A0"/>
  </sheetPr>
  <dimension ref="A1:H124"/>
  <sheetViews>
    <sheetView workbookViewId="0">
      <selection activeCell="C100" sqref="C100"/>
    </sheetView>
  </sheetViews>
  <sheetFormatPr defaultColWidth="9.140625" defaultRowHeight="15" x14ac:dyDescent="0.25"/>
  <cols>
    <col min="1" max="1" width="19.5703125" bestFit="1" customWidth="1"/>
    <col min="2" max="2" width="25.28515625" bestFit="1" customWidth="1"/>
    <col min="3" max="3" width="15.85546875" bestFit="1" customWidth="1"/>
    <col min="4" max="4" width="30.7109375" bestFit="1" customWidth="1"/>
    <col min="5" max="5" width="13.140625" bestFit="1" customWidth="1"/>
    <col min="6" max="6" width="36.5703125" bestFit="1" customWidth="1"/>
    <col min="7" max="7" width="19.42578125" bestFit="1" customWidth="1"/>
    <col min="8" max="8" width="15.140625" bestFit="1" customWidth="1"/>
  </cols>
  <sheetData>
    <row r="1" spans="1:8" x14ac:dyDescent="0.25">
      <c r="A1" t="s">
        <v>586</v>
      </c>
      <c r="B1" s="21">
        <v>45945.889684814814</v>
      </c>
    </row>
    <row r="2" spans="1:8" x14ac:dyDescent="0.25">
      <c r="A2" t="s">
        <v>555</v>
      </c>
      <c r="B2" t="s">
        <v>556</v>
      </c>
      <c r="C2" t="s">
        <v>557</v>
      </c>
      <c r="D2" t="s">
        <v>558</v>
      </c>
      <c r="E2" t="s">
        <v>416</v>
      </c>
      <c r="F2" t="s">
        <v>536</v>
      </c>
      <c r="G2" t="s">
        <v>380</v>
      </c>
      <c r="H2" t="s">
        <v>381</v>
      </c>
    </row>
    <row r="3" spans="1:8" x14ac:dyDescent="0.25">
      <c r="A3" t="s">
        <v>352</v>
      </c>
      <c r="B3" t="s">
        <v>233</v>
      </c>
      <c r="C3" s="20">
        <v>43911.847166134263</v>
      </c>
      <c r="D3" t="s">
        <v>559</v>
      </c>
      <c r="E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" t="str">
        <f>_xlfn.LET(
_xlpm.ligne_pseudo,MATCH(discord[[#This Row],[name]],suivi[membre.prive.pseudo_discord],0),
_xlpm.membre_nom,INDEX(suivi['#support.nom],_xlpm.ligne_pseudo),
IFERROR(_xlpm.membre_nom,"")
)</f>
        <v/>
      </c>
      <c r="G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">
        <f>IF(SUBSTITUTE(SUBSTITUTE(LOWER(discord[[#This Row],[roles]]),"@everyone,",""),"@everyone","")&lt;&gt;LOWER(discord[[#This Row],[role_attendu]]),1,"")</f>
        <v>1</v>
      </c>
    </row>
    <row r="4" spans="1:8" x14ac:dyDescent="0.25">
      <c r="A4" t="s">
        <v>321</v>
      </c>
      <c r="B4" t="s">
        <v>587</v>
      </c>
      <c r="C4" s="20">
        <v>43911.855347129633</v>
      </c>
      <c r="D4" t="s">
        <v>560</v>
      </c>
      <c r="E4" s="10">
        <f>_xlfn.LET(
_xlpm.ligne_pseudo,MATCH(discord[[#This Row],[name]],suivi[membre.prive.pseudo_discord],0),
_xlpm.membre_id,INDEX(suivi[membre.id],_xlpm.ligne_pseudo),
IFERROR(IF(_xlpm.membre_id="","",_xlpm.membre_id),"")
)</f>
        <v>1</v>
      </c>
      <c r="F4" t="str">
        <f>_xlfn.LET(
_xlpm.ligne_pseudo,MATCH(discord[[#This Row],[name]],suivi[membre.prive.pseudo_discord],0),
_xlpm.membre_nom,INDEX(suivi['#support.nom],_xlpm.ligne_pseudo),
IFERROR(_xlpm.membre_nom,"")
)</f>
        <v>Bon Jean</v>
      </c>
      <c r="G4" t="str">
        <f>IFERROR(
INDEX(#REF!,
      MATCH(INDEX(annuaire[saison.asso_role],
                  MATCH(discord[[#This Row],[membre.id]],annuaire[id],0)),#REF!,
            0)),
IF(discord[[#This Row],[membre.nom_userfriendly]]="","",ecuyer))</f>
        <v>Ecuyer de l'assaut</v>
      </c>
      <c r="H4">
        <f>IF(SUBSTITUTE(SUBSTITUTE(LOWER(discord[[#This Row],[roles]]),"@everyone,",""),"@everyone","")&lt;&gt;LOWER(discord[[#This Row],[role_attendu]]),1,"")</f>
        <v>1</v>
      </c>
    </row>
    <row r="5" spans="1:8" x14ac:dyDescent="0.25">
      <c r="A5" t="s">
        <v>328</v>
      </c>
      <c r="B5" t="s">
        <v>247</v>
      </c>
      <c r="C5" s="20">
        <v>43911.87028072917</v>
      </c>
      <c r="D5" t="s">
        <v>560</v>
      </c>
      <c r="E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" t="str">
        <f>_xlfn.LET(
_xlpm.ligne_pseudo,MATCH(discord[[#This Row],[name]],suivi[membre.prive.pseudo_discord],0),
_xlpm.membre_nom,INDEX(suivi['#support.nom],_xlpm.ligne_pseudo),
IFERROR(_xlpm.membre_nom,"")
)</f>
        <v/>
      </c>
      <c r="G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">
        <f>IF(SUBSTITUTE(SUBSTITUTE(LOWER(discord[[#This Row],[roles]]),"@everyone,",""),"@everyone","")&lt;&gt;LOWER(discord[[#This Row],[role_attendu]]),1,"")</f>
        <v>1</v>
      </c>
    </row>
    <row r="6" spans="1:8" x14ac:dyDescent="0.25">
      <c r="A6" t="s">
        <v>343</v>
      </c>
      <c r="B6" t="s">
        <v>243</v>
      </c>
      <c r="C6" s="20">
        <v>43916.452196990744</v>
      </c>
      <c r="D6" t="s">
        <v>559</v>
      </c>
      <c r="E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" t="str">
        <f>_xlfn.LET(
_xlpm.ligne_pseudo,MATCH(discord[[#This Row],[name]],suivi[membre.prive.pseudo_discord],0),
_xlpm.membre_nom,INDEX(suivi['#support.nom],_xlpm.ligne_pseudo),
IFERROR(_xlpm.membre_nom,"")
)</f>
        <v/>
      </c>
      <c r="G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">
        <f>IF(SUBSTITUTE(SUBSTITUTE(LOWER(discord[[#This Row],[roles]]),"@everyone,",""),"@everyone","")&lt;&gt;LOWER(discord[[#This Row],[role_attendu]]),1,"")</f>
        <v>1</v>
      </c>
    </row>
    <row r="7" spans="1:8" x14ac:dyDescent="0.25">
      <c r="A7" t="s">
        <v>290</v>
      </c>
      <c r="B7" t="s">
        <v>341</v>
      </c>
      <c r="C7" s="20">
        <v>43916.639693078701</v>
      </c>
      <c r="D7" t="s">
        <v>561</v>
      </c>
      <c r="E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" t="str">
        <f>_xlfn.LET(
_xlpm.ligne_pseudo,MATCH(discord[[#This Row],[name]],suivi[membre.prive.pseudo_discord],0),
_xlpm.membre_nom,INDEX(suivi['#support.nom],_xlpm.ligne_pseudo),
IFERROR(_xlpm.membre_nom,"")
)</f>
        <v/>
      </c>
      <c r="G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">
        <f>IF(SUBSTITUTE(SUBSTITUTE(LOWER(discord[[#This Row],[roles]]),"@everyone,",""),"@everyone","")&lt;&gt;LOWER(discord[[#This Row],[role_attendu]]),1,"")</f>
        <v>1</v>
      </c>
    </row>
    <row r="8" spans="1:8" x14ac:dyDescent="0.25">
      <c r="A8" t="s">
        <v>319</v>
      </c>
      <c r="B8" t="s">
        <v>246</v>
      </c>
      <c r="C8" s="20">
        <v>43945.889924606483</v>
      </c>
      <c r="D8" t="s">
        <v>561</v>
      </c>
      <c r="E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" t="str">
        <f>_xlfn.LET(
_xlpm.ligne_pseudo,MATCH(discord[[#This Row],[name]],suivi[membre.prive.pseudo_discord],0),
_xlpm.membre_nom,INDEX(suivi['#support.nom],_xlpm.ligne_pseudo),
IFERROR(_xlpm.membre_nom,"")
)</f>
        <v/>
      </c>
      <c r="G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">
        <f>IF(SUBSTITUTE(SUBSTITUTE(LOWER(discord[[#This Row],[roles]]),"@everyone,",""),"@everyone","")&lt;&gt;LOWER(discord[[#This Row],[role_attendu]]),1,"")</f>
        <v>1</v>
      </c>
    </row>
    <row r="9" spans="1:8" x14ac:dyDescent="0.25">
      <c r="A9" t="s">
        <v>332</v>
      </c>
      <c r="B9" t="s">
        <v>231</v>
      </c>
      <c r="C9" s="20">
        <v>44090.500151284723</v>
      </c>
      <c r="D9" t="s">
        <v>560</v>
      </c>
      <c r="E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" t="str">
        <f>_xlfn.LET(
_xlpm.ligne_pseudo,MATCH(discord[[#This Row],[name]],suivi[membre.prive.pseudo_discord],0),
_xlpm.membre_nom,INDEX(suivi['#support.nom],_xlpm.ligne_pseudo),
IFERROR(_xlpm.membre_nom,"")
)</f>
        <v/>
      </c>
      <c r="G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">
        <f>IF(SUBSTITUTE(SUBSTITUTE(LOWER(discord[[#This Row],[roles]]),"@everyone,",""),"@everyone","")&lt;&gt;LOWER(discord[[#This Row],[role_attendu]]),1,"")</f>
        <v>1</v>
      </c>
    </row>
    <row r="10" spans="1:8" x14ac:dyDescent="0.25">
      <c r="A10" t="s">
        <v>283</v>
      </c>
      <c r="B10" t="s">
        <v>36</v>
      </c>
      <c r="C10" s="20">
        <v>44090.501055208333</v>
      </c>
      <c r="D10" t="s">
        <v>561</v>
      </c>
      <c r="E1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" t="str">
        <f>_xlfn.LET(
_xlpm.ligne_pseudo,MATCH(discord[[#This Row],[name]],suivi[membre.prive.pseudo_discord],0),
_xlpm.membre_nom,INDEX(suivi['#support.nom],_xlpm.ligne_pseudo),
IFERROR(_xlpm.membre_nom,"")
)</f>
        <v/>
      </c>
      <c r="G1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">
        <f>IF(SUBSTITUTE(SUBSTITUTE(LOWER(discord[[#This Row],[roles]]),"@everyone,",""),"@everyone","")&lt;&gt;LOWER(discord[[#This Row],[role_attendu]]),1,"")</f>
        <v>1</v>
      </c>
    </row>
    <row r="11" spans="1:8" x14ac:dyDescent="0.25">
      <c r="A11" t="s">
        <v>362</v>
      </c>
      <c r="B11" t="s">
        <v>224</v>
      </c>
      <c r="C11" s="20">
        <v>44090.504006481482</v>
      </c>
      <c r="D11" t="s">
        <v>562</v>
      </c>
      <c r="E1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" t="str">
        <f>_xlfn.LET(
_xlpm.ligne_pseudo,MATCH(discord[[#This Row],[name]],suivi[membre.prive.pseudo_discord],0),
_xlpm.membre_nom,INDEX(suivi['#support.nom],_xlpm.ligne_pseudo),
IFERROR(_xlpm.membre_nom,"")
)</f>
        <v/>
      </c>
      <c r="G1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">
        <f>IF(SUBSTITUTE(SUBSTITUTE(LOWER(discord[[#This Row],[roles]]),"@everyone,",""),"@everyone","")&lt;&gt;LOWER(discord[[#This Row],[role_attendu]]),1,"")</f>
        <v>1</v>
      </c>
    </row>
    <row r="12" spans="1:8" x14ac:dyDescent="0.25">
      <c r="A12" t="s">
        <v>330</v>
      </c>
      <c r="B12" t="s">
        <v>79</v>
      </c>
      <c r="C12" s="20">
        <v>44090.524688483798</v>
      </c>
      <c r="D12" t="s">
        <v>561</v>
      </c>
      <c r="E1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2" t="str">
        <f>_xlfn.LET(
_xlpm.ligne_pseudo,MATCH(discord[[#This Row],[name]],suivi[membre.prive.pseudo_discord],0),
_xlpm.membre_nom,INDEX(suivi['#support.nom],_xlpm.ligne_pseudo),
IFERROR(_xlpm.membre_nom,"")
)</f>
        <v/>
      </c>
      <c r="G1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2">
        <f>IF(SUBSTITUTE(SUBSTITUTE(LOWER(discord[[#This Row],[roles]]),"@everyone,",""),"@everyone","")&lt;&gt;LOWER(discord[[#This Row],[role_attendu]]),1,"")</f>
        <v>1</v>
      </c>
    </row>
    <row r="13" spans="1:8" x14ac:dyDescent="0.25">
      <c r="A13" t="s">
        <v>357</v>
      </c>
      <c r="B13" t="s">
        <v>25</v>
      </c>
      <c r="C13" s="20">
        <v>44090.542074618053</v>
      </c>
      <c r="D13" t="s">
        <v>563</v>
      </c>
      <c r="E1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3" t="str">
        <f>_xlfn.LET(
_xlpm.ligne_pseudo,MATCH(discord[[#This Row],[name]],suivi[membre.prive.pseudo_discord],0),
_xlpm.membre_nom,INDEX(suivi['#support.nom],_xlpm.ligne_pseudo),
IFERROR(_xlpm.membre_nom,"")
)</f>
        <v/>
      </c>
      <c r="G1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3">
        <f>IF(SUBSTITUTE(SUBSTITUTE(LOWER(discord[[#This Row],[roles]]),"@everyone,",""),"@everyone","")&lt;&gt;LOWER(discord[[#This Row],[role_attendu]]),1,"")</f>
        <v>1</v>
      </c>
    </row>
    <row r="14" spans="1:8" x14ac:dyDescent="0.25">
      <c r="A14" t="s">
        <v>300</v>
      </c>
      <c r="B14" t="s">
        <v>367</v>
      </c>
      <c r="C14" s="20">
        <v>44090.724423402775</v>
      </c>
      <c r="D14" t="s">
        <v>561</v>
      </c>
      <c r="E1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4" t="str">
        <f>_xlfn.LET(
_xlpm.ligne_pseudo,MATCH(discord[[#This Row],[name]],suivi[membre.prive.pseudo_discord],0),
_xlpm.membre_nom,INDEX(suivi['#support.nom],_xlpm.ligne_pseudo),
IFERROR(_xlpm.membre_nom,"")
)</f>
        <v/>
      </c>
      <c r="G1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4">
        <f>IF(SUBSTITUTE(SUBSTITUTE(LOWER(discord[[#This Row],[roles]]),"@everyone,",""),"@everyone","")&lt;&gt;LOWER(discord[[#This Row],[role_attendu]]),1,"")</f>
        <v>1</v>
      </c>
    </row>
    <row r="15" spans="1:8" x14ac:dyDescent="0.25">
      <c r="A15" t="s">
        <v>327</v>
      </c>
      <c r="B15" t="s">
        <v>228</v>
      </c>
      <c r="C15" s="20">
        <v>44092.000688611108</v>
      </c>
      <c r="D15" t="s">
        <v>564</v>
      </c>
      <c r="E1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5" t="str">
        <f>_xlfn.LET(
_xlpm.ligne_pseudo,MATCH(discord[[#This Row],[name]],suivi[membre.prive.pseudo_discord],0),
_xlpm.membre_nom,INDEX(suivi['#support.nom],_xlpm.ligne_pseudo),
IFERROR(_xlpm.membre_nom,"")
)</f>
        <v/>
      </c>
      <c r="G1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5">
        <f>IF(SUBSTITUTE(SUBSTITUTE(LOWER(discord[[#This Row],[roles]]),"@everyone,",""),"@everyone","")&lt;&gt;LOWER(discord[[#This Row],[role_attendu]]),1,"")</f>
        <v>1</v>
      </c>
    </row>
    <row r="16" spans="1:8" x14ac:dyDescent="0.25">
      <c r="A16" t="s">
        <v>320</v>
      </c>
      <c r="B16" t="s">
        <v>235</v>
      </c>
      <c r="C16" s="20">
        <v>44092.431912974534</v>
      </c>
      <c r="D16" t="s">
        <v>559</v>
      </c>
      <c r="E1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6" t="str">
        <f>_xlfn.LET(
_xlpm.ligne_pseudo,MATCH(discord[[#This Row],[name]],suivi[membre.prive.pseudo_discord],0),
_xlpm.membre_nom,INDEX(suivi['#support.nom],_xlpm.ligne_pseudo),
IFERROR(_xlpm.membre_nom,"")
)</f>
        <v/>
      </c>
      <c r="G1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6">
        <f>IF(SUBSTITUTE(SUBSTITUTE(LOWER(discord[[#This Row],[roles]]),"@everyone,",""),"@everyone","")&lt;&gt;LOWER(discord[[#This Row],[role_attendu]]),1,"")</f>
        <v>1</v>
      </c>
    </row>
    <row r="17" spans="1:8" x14ac:dyDescent="0.25">
      <c r="A17" t="s">
        <v>314</v>
      </c>
      <c r="B17" t="s">
        <v>239</v>
      </c>
      <c r="C17" s="20">
        <v>44092.728231458335</v>
      </c>
      <c r="D17" t="s">
        <v>560</v>
      </c>
      <c r="E1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7" t="str">
        <f>_xlfn.LET(
_xlpm.ligne_pseudo,MATCH(discord[[#This Row],[name]],suivi[membre.prive.pseudo_discord],0),
_xlpm.membre_nom,INDEX(suivi['#support.nom],_xlpm.ligne_pseudo),
IFERROR(_xlpm.membre_nom,"")
)</f>
        <v/>
      </c>
      <c r="G1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7">
        <f>IF(SUBSTITUTE(SUBSTITUTE(LOWER(discord[[#This Row],[roles]]),"@everyone,",""),"@everyone","")&lt;&gt;LOWER(discord[[#This Row],[role_attendu]]),1,"")</f>
        <v>1</v>
      </c>
    </row>
    <row r="18" spans="1:8" x14ac:dyDescent="0.25">
      <c r="A18" t="s">
        <v>292</v>
      </c>
      <c r="B18" t="s">
        <v>292</v>
      </c>
      <c r="C18" s="20">
        <v>44094.830571446757</v>
      </c>
      <c r="D18" t="s">
        <v>561</v>
      </c>
      <c r="E1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8" t="str">
        <f>_xlfn.LET(
_xlpm.ligne_pseudo,MATCH(discord[[#This Row],[name]],suivi[membre.prive.pseudo_discord],0),
_xlpm.membre_nom,INDEX(suivi['#support.nom],_xlpm.ligne_pseudo),
IFERROR(_xlpm.membre_nom,"")
)</f>
        <v/>
      </c>
      <c r="G1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8">
        <f>IF(SUBSTITUTE(SUBSTITUTE(LOWER(discord[[#This Row],[roles]]),"@everyone,",""),"@everyone","")&lt;&gt;LOWER(discord[[#This Row],[role_attendu]]),1,"")</f>
        <v>1</v>
      </c>
    </row>
    <row r="19" spans="1:8" x14ac:dyDescent="0.25">
      <c r="A19" t="s">
        <v>373</v>
      </c>
      <c r="B19" t="s">
        <v>249</v>
      </c>
      <c r="C19" s="20">
        <v>44100.069571504631</v>
      </c>
      <c r="D19" t="s">
        <v>561</v>
      </c>
      <c r="E1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9" t="str">
        <f>_xlfn.LET(
_xlpm.ligne_pseudo,MATCH(discord[[#This Row],[name]],suivi[membre.prive.pseudo_discord],0),
_xlpm.membre_nom,INDEX(suivi['#support.nom],_xlpm.ligne_pseudo),
IFERROR(_xlpm.membre_nom,"")
)</f>
        <v/>
      </c>
      <c r="G1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9">
        <f>IF(SUBSTITUTE(SUBSTITUTE(LOWER(discord[[#This Row],[roles]]),"@everyone,",""),"@everyone","")&lt;&gt;LOWER(discord[[#This Row],[role_attendu]]),1,"")</f>
        <v>1</v>
      </c>
    </row>
    <row r="20" spans="1:8" x14ac:dyDescent="0.25">
      <c r="A20" t="s">
        <v>302</v>
      </c>
      <c r="B20" t="s">
        <v>369</v>
      </c>
      <c r="C20" s="20">
        <v>44107.363822164349</v>
      </c>
      <c r="D20" t="s">
        <v>561</v>
      </c>
      <c r="E2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0" t="str">
        <f>_xlfn.LET(
_xlpm.ligne_pseudo,MATCH(discord[[#This Row],[name]],suivi[membre.prive.pseudo_discord],0),
_xlpm.membre_nom,INDEX(suivi['#support.nom],_xlpm.ligne_pseudo),
IFERROR(_xlpm.membre_nom,"")
)</f>
        <v/>
      </c>
      <c r="G2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0">
        <f>IF(SUBSTITUTE(SUBSTITUTE(LOWER(discord[[#This Row],[roles]]),"@everyone,",""),"@everyone","")&lt;&gt;LOWER(discord[[#This Row],[role_attendu]]),1,"")</f>
        <v>1</v>
      </c>
    </row>
    <row r="21" spans="1:8" x14ac:dyDescent="0.25">
      <c r="A21" t="s">
        <v>346</v>
      </c>
      <c r="B21" t="s">
        <v>15</v>
      </c>
      <c r="C21" s="20">
        <v>44133.709301342591</v>
      </c>
      <c r="D21" t="s">
        <v>564</v>
      </c>
      <c r="E2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1" t="str">
        <f>_xlfn.LET(
_xlpm.ligne_pseudo,MATCH(discord[[#This Row],[name]],suivi[membre.prive.pseudo_discord],0),
_xlpm.membre_nom,INDEX(suivi['#support.nom],_xlpm.ligne_pseudo),
IFERROR(_xlpm.membre_nom,"")
)</f>
        <v/>
      </c>
      <c r="G2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1">
        <f>IF(SUBSTITUTE(SUBSTITUTE(LOWER(discord[[#This Row],[roles]]),"@everyone,",""),"@everyone","")&lt;&gt;LOWER(discord[[#This Row],[role_attendu]]),1,"")</f>
        <v>1</v>
      </c>
    </row>
    <row r="22" spans="1:8" x14ac:dyDescent="0.25">
      <c r="A22" t="s">
        <v>363</v>
      </c>
      <c r="B22" t="s">
        <v>363</v>
      </c>
      <c r="C22" s="20">
        <v>44134.854487060184</v>
      </c>
      <c r="D22" t="s">
        <v>565</v>
      </c>
      <c r="E2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2" t="str">
        <f>_xlfn.LET(
_xlpm.ligne_pseudo,MATCH(discord[[#This Row],[name]],suivi[membre.prive.pseudo_discord],0),
_xlpm.membre_nom,INDEX(suivi['#support.nom],_xlpm.ligne_pseudo),
IFERROR(_xlpm.membre_nom,"")
)</f>
        <v/>
      </c>
      <c r="G2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2">
        <f>IF(SUBSTITUTE(SUBSTITUTE(LOWER(discord[[#This Row],[roles]]),"@everyone,",""),"@everyone","")&lt;&gt;LOWER(discord[[#This Row],[role_attendu]]),1,"")</f>
        <v>1</v>
      </c>
    </row>
    <row r="23" spans="1:8" x14ac:dyDescent="0.25">
      <c r="A23" t="s">
        <v>532</v>
      </c>
      <c r="B23" t="s">
        <v>566</v>
      </c>
      <c r="C23" s="20">
        <v>44223.318837696759</v>
      </c>
      <c r="D23" t="s">
        <v>561</v>
      </c>
      <c r="E2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3" t="str">
        <f>_xlfn.LET(
_xlpm.ligne_pseudo,MATCH(discord[[#This Row],[name]],suivi[membre.prive.pseudo_discord],0),
_xlpm.membre_nom,INDEX(suivi['#support.nom],_xlpm.ligne_pseudo),
IFERROR(_xlpm.membre_nom,"")
)</f>
        <v/>
      </c>
      <c r="G2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3">
        <f>IF(SUBSTITUTE(SUBSTITUTE(LOWER(discord[[#This Row],[roles]]),"@everyone,",""),"@everyone","")&lt;&gt;LOWER(discord[[#This Row],[role_attendu]]),1,"")</f>
        <v>1</v>
      </c>
    </row>
    <row r="24" spans="1:8" x14ac:dyDescent="0.25">
      <c r="A24" t="s">
        <v>349</v>
      </c>
      <c r="B24" t="s">
        <v>237</v>
      </c>
      <c r="C24" s="20">
        <v>44365.983474050925</v>
      </c>
      <c r="D24" t="s">
        <v>561</v>
      </c>
      <c r="E2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4" t="str">
        <f>_xlfn.LET(
_xlpm.ligne_pseudo,MATCH(discord[[#This Row],[name]],suivi[membre.prive.pseudo_discord],0),
_xlpm.membre_nom,INDEX(suivi['#support.nom],_xlpm.ligne_pseudo),
IFERROR(_xlpm.membre_nom,"")
)</f>
        <v/>
      </c>
      <c r="G2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4">
        <f>IF(SUBSTITUTE(SUBSTITUTE(LOWER(discord[[#This Row],[roles]]),"@everyone,",""),"@everyone","")&lt;&gt;LOWER(discord[[#This Row],[role_attendu]]),1,"")</f>
        <v>1</v>
      </c>
    </row>
    <row r="25" spans="1:8" x14ac:dyDescent="0.25">
      <c r="A25" t="s">
        <v>313</v>
      </c>
      <c r="B25" t="s">
        <v>567</v>
      </c>
      <c r="C25" s="20">
        <v>44386.435663055556</v>
      </c>
      <c r="D25" t="s">
        <v>562</v>
      </c>
      <c r="E2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5" t="str">
        <f>_xlfn.LET(
_xlpm.ligne_pseudo,MATCH(discord[[#This Row],[name]],suivi[membre.prive.pseudo_discord],0),
_xlpm.membre_nom,INDEX(suivi['#support.nom],_xlpm.ligne_pseudo),
IFERROR(_xlpm.membre_nom,"")
)</f>
        <v/>
      </c>
      <c r="G2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5">
        <f>IF(SUBSTITUTE(SUBSTITUTE(LOWER(discord[[#This Row],[roles]]),"@everyone,",""),"@everyone","")&lt;&gt;LOWER(discord[[#This Row],[role_attendu]]),1,"")</f>
        <v>1</v>
      </c>
    </row>
    <row r="26" spans="1:8" x14ac:dyDescent="0.25">
      <c r="A26" t="s">
        <v>376</v>
      </c>
      <c r="B26" t="s">
        <v>554</v>
      </c>
      <c r="C26" s="20">
        <v>44397.780477581022</v>
      </c>
      <c r="D26" t="s">
        <v>564</v>
      </c>
      <c r="E2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6" t="str">
        <f>_xlfn.LET(
_xlpm.ligne_pseudo,MATCH(discord[[#This Row],[name]],suivi[membre.prive.pseudo_discord],0),
_xlpm.membre_nom,INDEX(suivi['#support.nom],_xlpm.ligne_pseudo),
IFERROR(_xlpm.membre_nom,"")
)</f>
        <v/>
      </c>
      <c r="G2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6">
        <f>IF(SUBSTITUTE(SUBSTITUTE(LOWER(discord[[#This Row],[roles]]),"@everyone,",""),"@everyone","")&lt;&gt;LOWER(discord[[#This Row],[role_attendu]]),1,"")</f>
        <v>1</v>
      </c>
    </row>
    <row r="27" spans="1:8" x14ac:dyDescent="0.25">
      <c r="A27" t="s">
        <v>350</v>
      </c>
      <c r="B27" t="s">
        <v>221</v>
      </c>
      <c r="C27" s="20">
        <v>44397.806239328704</v>
      </c>
      <c r="D27" t="s">
        <v>561</v>
      </c>
      <c r="E2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7" t="str">
        <f>_xlfn.LET(
_xlpm.ligne_pseudo,MATCH(discord[[#This Row],[name]],suivi[membre.prive.pseudo_discord],0),
_xlpm.membre_nom,INDEX(suivi['#support.nom],_xlpm.ligne_pseudo),
IFERROR(_xlpm.membre_nom,"")
)</f>
        <v/>
      </c>
      <c r="G2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7">
        <f>IF(SUBSTITUTE(SUBSTITUTE(LOWER(discord[[#This Row],[roles]]),"@everyone,",""),"@everyone","")&lt;&gt;LOWER(discord[[#This Row],[role_attendu]]),1,"")</f>
        <v>1</v>
      </c>
    </row>
    <row r="28" spans="1:8" x14ac:dyDescent="0.25">
      <c r="A28" t="s">
        <v>299</v>
      </c>
      <c r="B28" t="s">
        <v>568</v>
      </c>
      <c r="C28" s="20">
        <v>44418.91762915509</v>
      </c>
      <c r="D28" t="s">
        <v>561</v>
      </c>
      <c r="E2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8" t="str">
        <f>_xlfn.LET(
_xlpm.ligne_pseudo,MATCH(discord[[#This Row],[name]],suivi[membre.prive.pseudo_discord],0),
_xlpm.membre_nom,INDEX(suivi['#support.nom],_xlpm.ligne_pseudo),
IFERROR(_xlpm.membre_nom,"")
)</f>
        <v/>
      </c>
      <c r="G2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8">
        <f>IF(SUBSTITUTE(SUBSTITUTE(LOWER(discord[[#This Row],[roles]]),"@everyone,",""),"@everyone","")&lt;&gt;LOWER(discord[[#This Row],[role_attendu]]),1,"")</f>
        <v>1</v>
      </c>
    </row>
    <row r="29" spans="1:8" x14ac:dyDescent="0.25">
      <c r="A29" t="s">
        <v>325</v>
      </c>
      <c r="B29" t="s">
        <v>248</v>
      </c>
      <c r="C29" s="20">
        <v>44444.802006550926</v>
      </c>
      <c r="D29" t="s">
        <v>561</v>
      </c>
      <c r="E2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29" t="str">
        <f>_xlfn.LET(
_xlpm.ligne_pseudo,MATCH(discord[[#This Row],[name]],suivi[membre.prive.pseudo_discord],0),
_xlpm.membre_nom,INDEX(suivi['#support.nom],_xlpm.ligne_pseudo),
IFERROR(_xlpm.membre_nom,"")
)</f>
        <v/>
      </c>
      <c r="G2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29">
        <f>IF(SUBSTITUTE(SUBSTITUTE(LOWER(discord[[#This Row],[roles]]),"@everyone,",""),"@everyone","")&lt;&gt;LOWER(discord[[#This Row],[role_attendu]]),1,"")</f>
        <v>1</v>
      </c>
    </row>
    <row r="30" spans="1:8" x14ac:dyDescent="0.25">
      <c r="A30" t="s">
        <v>293</v>
      </c>
      <c r="B30" t="s">
        <v>347</v>
      </c>
      <c r="C30" s="20">
        <v>44444.804504768515</v>
      </c>
      <c r="D30" t="s">
        <v>561</v>
      </c>
      <c r="E3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0" t="str">
        <f>_xlfn.LET(
_xlpm.ligne_pseudo,MATCH(discord[[#This Row],[name]],suivi[membre.prive.pseudo_discord],0),
_xlpm.membre_nom,INDEX(suivi['#support.nom],_xlpm.ligne_pseudo),
IFERROR(_xlpm.membre_nom,"")
)</f>
        <v/>
      </c>
      <c r="G3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0">
        <f>IF(SUBSTITUTE(SUBSTITUTE(LOWER(discord[[#This Row],[roles]]),"@everyone,",""),"@everyone","")&lt;&gt;LOWER(discord[[#This Row],[role_attendu]]),1,"")</f>
        <v>1</v>
      </c>
    </row>
    <row r="31" spans="1:8" x14ac:dyDescent="0.25">
      <c r="A31" t="s">
        <v>287</v>
      </c>
      <c r="B31" t="s">
        <v>287</v>
      </c>
      <c r="C31" s="20">
        <v>44445.416044837963</v>
      </c>
      <c r="D31" t="s">
        <v>561</v>
      </c>
      <c r="E3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1" t="str">
        <f>_xlfn.LET(
_xlpm.ligne_pseudo,MATCH(discord[[#This Row],[name]],suivi[membre.prive.pseudo_discord],0),
_xlpm.membre_nom,INDEX(suivi['#support.nom],_xlpm.ligne_pseudo),
IFERROR(_xlpm.membre_nom,"")
)</f>
        <v/>
      </c>
      <c r="G3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1">
        <f>IF(SUBSTITUTE(SUBSTITUTE(LOWER(discord[[#This Row],[roles]]),"@everyone,",""),"@everyone","")&lt;&gt;LOWER(discord[[#This Row],[role_attendu]]),1,"")</f>
        <v>1</v>
      </c>
    </row>
    <row r="32" spans="1:8" x14ac:dyDescent="0.25">
      <c r="A32" t="s">
        <v>355</v>
      </c>
      <c r="B32" t="s">
        <v>355</v>
      </c>
      <c r="C32" s="20">
        <v>44445.423002847223</v>
      </c>
      <c r="D32" t="s">
        <v>569</v>
      </c>
      <c r="E3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2" t="str">
        <f>_xlfn.LET(
_xlpm.ligne_pseudo,MATCH(discord[[#This Row],[name]],suivi[membre.prive.pseudo_discord],0),
_xlpm.membre_nom,INDEX(suivi['#support.nom],_xlpm.ligne_pseudo),
IFERROR(_xlpm.membre_nom,"")
)</f>
        <v/>
      </c>
      <c r="G3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2">
        <f>IF(SUBSTITUTE(SUBSTITUTE(LOWER(discord[[#This Row],[roles]]),"@everyone,",""),"@everyone","")&lt;&gt;LOWER(discord[[#This Row],[role_attendu]]),1,"")</f>
        <v>1</v>
      </c>
    </row>
    <row r="33" spans="1:8" x14ac:dyDescent="0.25">
      <c r="A33" t="s">
        <v>315</v>
      </c>
      <c r="B33" t="s">
        <v>227</v>
      </c>
      <c r="C33" s="20">
        <v>44454.696211481481</v>
      </c>
      <c r="D33" t="s">
        <v>561</v>
      </c>
      <c r="E3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3" t="str">
        <f>_xlfn.LET(
_xlpm.ligne_pseudo,MATCH(discord[[#This Row],[name]],suivi[membre.prive.pseudo_discord],0),
_xlpm.membre_nom,INDEX(suivi['#support.nom],_xlpm.ligne_pseudo),
IFERROR(_xlpm.membre_nom,"")
)</f>
        <v/>
      </c>
      <c r="G3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3">
        <f>IF(SUBSTITUTE(SUBSTITUTE(LOWER(discord[[#This Row],[roles]]),"@everyone,",""),"@everyone","")&lt;&gt;LOWER(discord[[#This Row],[role_attendu]]),1,"")</f>
        <v>1</v>
      </c>
    </row>
    <row r="34" spans="1:8" x14ac:dyDescent="0.25">
      <c r="A34" t="s">
        <v>236</v>
      </c>
      <c r="B34" t="s">
        <v>236</v>
      </c>
      <c r="C34" s="20">
        <v>44462.953314178238</v>
      </c>
      <c r="D34" t="s">
        <v>564</v>
      </c>
      <c r="E3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4" t="str">
        <f>_xlfn.LET(
_xlpm.ligne_pseudo,MATCH(discord[[#This Row],[name]],suivi[membre.prive.pseudo_discord],0),
_xlpm.membre_nom,INDEX(suivi['#support.nom],_xlpm.ligne_pseudo),
IFERROR(_xlpm.membre_nom,"")
)</f>
        <v/>
      </c>
      <c r="G3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4">
        <f>IF(SUBSTITUTE(SUBSTITUTE(LOWER(discord[[#This Row],[roles]]),"@everyone,",""),"@everyone","")&lt;&gt;LOWER(discord[[#This Row],[role_attendu]]),1,"")</f>
        <v>1</v>
      </c>
    </row>
    <row r="35" spans="1:8" x14ac:dyDescent="0.25">
      <c r="A35" t="s">
        <v>267</v>
      </c>
      <c r="B35" t="s">
        <v>267</v>
      </c>
      <c r="C35" s="20">
        <v>44527.086427499999</v>
      </c>
      <c r="D35" t="s">
        <v>561</v>
      </c>
      <c r="E3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5" t="str">
        <f>_xlfn.LET(
_xlpm.ligne_pseudo,MATCH(discord[[#This Row],[name]],suivi[membre.prive.pseudo_discord],0),
_xlpm.membre_nom,INDEX(suivi['#support.nom],_xlpm.ligne_pseudo),
IFERROR(_xlpm.membre_nom,"")
)</f>
        <v/>
      </c>
      <c r="G3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5">
        <f>IF(SUBSTITUTE(SUBSTITUTE(LOWER(discord[[#This Row],[roles]]),"@everyone,",""),"@everyone","")&lt;&gt;LOWER(discord[[#This Row],[role_attendu]]),1,"")</f>
        <v>1</v>
      </c>
    </row>
    <row r="36" spans="1:8" x14ac:dyDescent="0.25">
      <c r="A36" t="s">
        <v>301</v>
      </c>
      <c r="B36" t="s">
        <v>368</v>
      </c>
      <c r="C36" s="20">
        <v>44638.401707291669</v>
      </c>
      <c r="D36" t="s">
        <v>561</v>
      </c>
      <c r="E3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6" t="str">
        <f>_xlfn.LET(
_xlpm.ligne_pseudo,MATCH(discord[[#This Row],[name]],suivi[membre.prive.pseudo_discord],0),
_xlpm.membre_nom,INDEX(suivi['#support.nom],_xlpm.ligne_pseudo),
IFERROR(_xlpm.membre_nom,"")
)</f>
        <v/>
      </c>
      <c r="G3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6">
        <f>IF(SUBSTITUTE(SUBSTITUTE(LOWER(discord[[#This Row],[roles]]),"@everyone,",""),"@everyone","")&lt;&gt;LOWER(discord[[#This Row],[role_attendu]]),1,"")</f>
        <v>1</v>
      </c>
    </row>
    <row r="37" spans="1:8" x14ac:dyDescent="0.25">
      <c r="A37" t="s">
        <v>337</v>
      </c>
      <c r="B37" t="s">
        <v>241</v>
      </c>
      <c r="C37" s="20">
        <v>44641.420165520831</v>
      </c>
      <c r="D37" t="s">
        <v>561</v>
      </c>
      <c r="E3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7" t="str">
        <f>_xlfn.LET(
_xlpm.ligne_pseudo,MATCH(discord[[#This Row],[name]],suivi[membre.prive.pseudo_discord],0),
_xlpm.membre_nom,INDEX(suivi['#support.nom],_xlpm.ligne_pseudo),
IFERROR(_xlpm.membre_nom,"")
)</f>
        <v/>
      </c>
      <c r="G3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7">
        <f>IF(SUBSTITUTE(SUBSTITUTE(LOWER(discord[[#This Row],[roles]]),"@everyone,",""),"@everyone","")&lt;&gt;LOWER(discord[[#This Row],[role_attendu]]),1,"")</f>
        <v>1</v>
      </c>
    </row>
    <row r="38" spans="1:8" x14ac:dyDescent="0.25">
      <c r="A38" t="s">
        <v>570</v>
      </c>
      <c r="B38" t="s">
        <v>348</v>
      </c>
      <c r="C38" s="20">
        <v>44742.877499780094</v>
      </c>
      <c r="D38" t="s">
        <v>561</v>
      </c>
      <c r="E3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8" t="str">
        <f>_xlfn.LET(
_xlpm.ligne_pseudo,MATCH(discord[[#This Row],[name]],suivi[membre.prive.pseudo_discord],0),
_xlpm.membre_nom,INDEX(suivi['#support.nom],_xlpm.ligne_pseudo),
IFERROR(_xlpm.membre_nom,"")
)</f>
        <v/>
      </c>
      <c r="G3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8">
        <f>IF(SUBSTITUTE(SUBSTITUTE(LOWER(discord[[#This Row],[roles]]),"@everyone,",""),"@everyone","")&lt;&gt;LOWER(discord[[#This Row],[role_attendu]]),1,"")</f>
        <v>1</v>
      </c>
    </row>
    <row r="39" spans="1:8" x14ac:dyDescent="0.25">
      <c r="A39" t="s">
        <v>284</v>
      </c>
      <c r="B39" t="s">
        <v>331</v>
      </c>
      <c r="C39" s="20">
        <v>44812.782579571758</v>
      </c>
      <c r="D39" t="s">
        <v>561</v>
      </c>
      <c r="E3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39" t="str">
        <f>_xlfn.LET(
_xlpm.ligne_pseudo,MATCH(discord[[#This Row],[name]],suivi[membre.prive.pseudo_discord],0),
_xlpm.membre_nom,INDEX(suivi['#support.nom],_xlpm.ligne_pseudo),
IFERROR(_xlpm.membre_nom,"")
)</f>
        <v/>
      </c>
      <c r="G3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39">
        <f>IF(SUBSTITUTE(SUBSTITUTE(LOWER(discord[[#This Row],[roles]]),"@everyone,",""),"@everyone","")&lt;&gt;LOWER(discord[[#This Row],[role_attendu]]),1,"")</f>
        <v>1</v>
      </c>
    </row>
    <row r="40" spans="1:8" x14ac:dyDescent="0.25">
      <c r="A40" t="s">
        <v>303</v>
      </c>
      <c r="B40" t="s">
        <v>372</v>
      </c>
      <c r="C40" s="20">
        <v>44813.786750752311</v>
      </c>
      <c r="D40" t="s">
        <v>561</v>
      </c>
      <c r="E4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0" t="str">
        <f>_xlfn.LET(
_xlpm.ligne_pseudo,MATCH(discord[[#This Row],[name]],suivi[membre.prive.pseudo_discord],0),
_xlpm.membre_nom,INDEX(suivi['#support.nom],_xlpm.ligne_pseudo),
IFERROR(_xlpm.membre_nom,"")
)</f>
        <v/>
      </c>
      <c r="G4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0">
        <f>IF(SUBSTITUTE(SUBSTITUTE(LOWER(discord[[#This Row],[roles]]),"@everyone,",""),"@everyone","")&lt;&gt;LOWER(discord[[#This Row],[role_attendu]]),1,"")</f>
        <v>1</v>
      </c>
    </row>
    <row r="41" spans="1:8" x14ac:dyDescent="0.25">
      <c r="A41" t="s">
        <v>281</v>
      </c>
      <c r="B41" t="s">
        <v>322</v>
      </c>
      <c r="C41" s="20">
        <v>44829.811798495371</v>
      </c>
      <c r="D41" t="s">
        <v>561</v>
      </c>
      <c r="E4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1" t="str">
        <f>_xlfn.LET(
_xlpm.ligne_pseudo,MATCH(discord[[#This Row],[name]],suivi[membre.prive.pseudo_discord],0),
_xlpm.membre_nom,INDEX(suivi['#support.nom],_xlpm.ligne_pseudo),
IFERROR(_xlpm.membre_nom,"")
)</f>
        <v/>
      </c>
      <c r="G4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1">
        <f>IF(SUBSTITUTE(SUBSTITUTE(LOWER(discord[[#This Row],[roles]]),"@everyone,",""),"@everyone","")&lt;&gt;LOWER(discord[[#This Row],[role_attendu]]),1,"")</f>
        <v>1</v>
      </c>
    </row>
    <row r="42" spans="1:8" x14ac:dyDescent="0.25">
      <c r="A42" t="s">
        <v>361</v>
      </c>
      <c r="B42" t="s">
        <v>48</v>
      </c>
      <c r="C42" s="20">
        <v>44862.787684120369</v>
      </c>
      <c r="D42" t="s">
        <v>561</v>
      </c>
      <c r="E4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2" t="str">
        <f>_xlfn.LET(
_xlpm.ligne_pseudo,MATCH(discord[[#This Row],[name]],suivi[membre.prive.pseudo_discord],0),
_xlpm.membre_nom,INDEX(suivi['#support.nom],_xlpm.ligne_pseudo),
IFERROR(_xlpm.membre_nom,"")
)</f>
        <v/>
      </c>
      <c r="G4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2">
        <f>IF(SUBSTITUTE(SUBSTITUTE(LOWER(discord[[#This Row],[roles]]),"@everyone,",""),"@everyone","")&lt;&gt;LOWER(discord[[#This Row],[role_attendu]]),1,"")</f>
        <v>1</v>
      </c>
    </row>
    <row r="43" spans="1:8" x14ac:dyDescent="0.25">
      <c r="A43" t="s">
        <v>294</v>
      </c>
      <c r="B43" t="s">
        <v>136</v>
      </c>
      <c r="C43" s="20">
        <v>44876.779951805554</v>
      </c>
      <c r="D43" t="s">
        <v>561</v>
      </c>
      <c r="E4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3" t="str">
        <f>_xlfn.LET(
_xlpm.ligne_pseudo,MATCH(discord[[#This Row],[name]],suivi[membre.prive.pseudo_discord],0),
_xlpm.membre_nom,INDEX(suivi['#support.nom],_xlpm.ligne_pseudo),
IFERROR(_xlpm.membre_nom,"")
)</f>
        <v/>
      </c>
      <c r="G4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3">
        <f>IF(SUBSTITUTE(SUBSTITUTE(LOWER(discord[[#This Row],[roles]]),"@everyone,",""),"@everyone","")&lt;&gt;LOWER(discord[[#This Row],[role_attendu]]),1,"")</f>
        <v>1</v>
      </c>
    </row>
    <row r="44" spans="1:8" x14ac:dyDescent="0.25">
      <c r="A44" t="s">
        <v>226</v>
      </c>
      <c r="B44" t="s">
        <v>226</v>
      </c>
      <c r="C44" s="20">
        <v>44903.51705234954</v>
      </c>
      <c r="D44" t="s">
        <v>561</v>
      </c>
      <c r="E4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4" t="str">
        <f>_xlfn.LET(
_xlpm.ligne_pseudo,MATCH(discord[[#This Row],[name]],suivi[membre.prive.pseudo_discord],0),
_xlpm.membre_nom,INDEX(suivi['#support.nom],_xlpm.ligne_pseudo),
IFERROR(_xlpm.membre_nom,"")
)</f>
        <v/>
      </c>
      <c r="G4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4">
        <f>IF(SUBSTITUTE(SUBSTITUTE(LOWER(discord[[#This Row],[roles]]),"@everyone,",""),"@everyone","")&lt;&gt;LOWER(discord[[#This Row],[role_attendu]]),1,"")</f>
        <v>1</v>
      </c>
    </row>
    <row r="45" spans="1:8" x14ac:dyDescent="0.25">
      <c r="A45" t="s">
        <v>289</v>
      </c>
      <c r="B45" t="s">
        <v>289</v>
      </c>
      <c r="C45" s="20">
        <v>45016.922946574072</v>
      </c>
      <c r="D45" t="s">
        <v>561</v>
      </c>
      <c r="E4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5" t="str">
        <f>_xlfn.LET(
_xlpm.ligne_pseudo,MATCH(discord[[#This Row],[name]],suivi[membre.prive.pseudo_discord],0),
_xlpm.membre_nom,INDEX(suivi['#support.nom],_xlpm.ligne_pseudo),
IFERROR(_xlpm.membre_nom,"")
)</f>
        <v/>
      </c>
      <c r="G4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5">
        <f>IF(SUBSTITUTE(SUBSTITUTE(LOWER(discord[[#This Row],[roles]]),"@everyone,",""),"@everyone","")&lt;&gt;LOWER(discord[[#This Row],[role_attendu]]),1,"")</f>
        <v>1</v>
      </c>
    </row>
    <row r="46" spans="1:8" x14ac:dyDescent="0.25">
      <c r="A46" t="s">
        <v>285</v>
      </c>
      <c r="B46" t="s">
        <v>333</v>
      </c>
      <c r="C46" s="20">
        <v>45022.631863379633</v>
      </c>
      <c r="D46" t="s">
        <v>561</v>
      </c>
      <c r="E4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6" t="str">
        <f>_xlfn.LET(
_xlpm.ligne_pseudo,MATCH(discord[[#This Row],[name]],suivi[membre.prive.pseudo_discord],0),
_xlpm.membre_nom,INDEX(suivi['#support.nom],_xlpm.ligne_pseudo),
IFERROR(_xlpm.membre_nom,"")
)</f>
        <v/>
      </c>
      <c r="G4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6">
        <f>IF(SUBSTITUTE(SUBSTITUTE(LOWER(discord[[#This Row],[roles]]),"@everyone,",""),"@everyone","")&lt;&gt;LOWER(discord[[#This Row],[role_attendu]]),1,"")</f>
        <v>1</v>
      </c>
    </row>
    <row r="47" spans="1:8" x14ac:dyDescent="0.25">
      <c r="A47" t="s">
        <v>297</v>
      </c>
      <c r="B47" t="s">
        <v>358</v>
      </c>
      <c r="C47" s="20">
        <v>45023.603681157409</v>
      </c>
      <c r="D47" t="s">
        <v>561</v>
      </c>
      <c r="E4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7" t="str">
        <f>_xlfn.LET(
_xlpm.ligne_pseudo,MATCH(discord[[#This Row],[name]],suivi[membre.prive.pseudo_discord],0),
_xlpm.membre_nom,INDEX(suivi['#support.nom],_xlpm.ligne_pseudo),
IFERROR(_xlpm.membre_nom,"")
)</f>
        <v/>
      </c>
      <c r="G4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7">
        <f>IF(SUBSTITUTE(SUBSTITUTE(LOWER(discord[[#This Row],[roles]]),"@everyone,",""),"@everyone","")&lt;&gt;LOWER(discord[[#This Row],[role_attendu]]),1,"")</f>
        <v>1</v>
      </c>
    </row>
    <row r="48" spans="1:8" x14ac:dyDescent="0.25">
      <c r="A48" t="s">
        <v>295</v>
      </c>
      <c r="B48" t="s">
        <v>354</v>
      </c>
      <c r="C48" s="20">
        <v>45135.706153703701</v>
      </c>
      <c r="D48" t="s">
        <v>561</v>
      </c>
      <c r="E4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8" t="str">
        <f>_xlfn.LET(
_xlpm.ligne_pseudo,MATCH(discord[[#This Row],[name]],suivi[membre.prive.pseudo_discord],0),
_xlpm.membre_nom,INDEX(suivi['#support.nom],_xlpm.ligne_pseudo),
IFERROR(_xlpm.membre_nom,"")
)</f>
        <v/>
      </c>
      <c r="G4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8">
        <f>IF(SUBSTITUTE(SUBSTITUTE(LOWER(discord[[#This Row],[roles]]),"@everyone,",""),"@everyone","")&lt;&gt;LOWER(discord[[#This Row],[role_attendu]]),1,"")</f>
        <v>1</v>
      </c>
    </row>
    <row r="49" spans="1:8" x14ac:dyDescent="0.25">
      <c r="A49" t="s">
        <v>286</v>
      </c>
      <c r="B49" t="s">
        <v>334</v>
      </c>
      <c r="C49" s="20">
        <v>45135.870958645835</v>
      </c>
      <c r="D49" t="s">
        <v>561</v>
      </c>
      <c r="E4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49" t="str">
        <f>_xlfn.LET(
_xlpm.ligne_pseudo,MATCH(discord[[#This Row],[name]],suivi[membre.prive.pseudo_discord],0),
_xlpm.membre_nom,INDEX(suivi['#support.nom],_xlpm.ligne_pseudo),
IFERROR(_xlpm.membre_nom,"")
)</f>
        <v/>
      </c>
      <c r="G4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49">
        <f>IF(SUBSTITUTE(SUBSTITUTE(LOWER(discord[[#This Row],[roles]]),"@everyone,",""),"@everyone","")&lt;&gt;LOWER(discord[[#This Row],[role_attendu]]),1,"")</f>
        <v>1</v>
      </c>
    </row>
    <row r="50" spans="1:8" x14ac:dyDescent="0.25">
      <c r="A50" t="s">
        <v>342</v>
      </c>
      <c r="B50" t="s">
        <v>240</v>
      </c>
      <c r="C50" s="20">
        <v>45137.600743692128</v>
      </c>
      <c r="D50" t="s">
        <v>561</v>
      </c>
      <c r="E5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0" t="str">
        <f>_xlfn.LET(
_xlpm.ligne_pseudo,MATCH(discord[[#This Row],[name]],suivi[membre.prive.pseudo_discord],0),
_xlpm.membre_nom,INDEX(suivi['#support.nom],_xlpm.ligne_pseudo),
IFERROR(_xlpm.membre_nom,"")
)</f>
        <v/>
      </c>
      <c r="G5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0">
        <f>IF(SUBSTITUTE(SUBSTITUTE(LOWER(discord[[#This Row],[roles]]),"@everyone,",""),"@everyone","")&lt;&gt;LOWER(discord[[#This Row],[role_attendu]]),1,"")</f>
        <v>1</v>
      </c>
    </row>
    <row r="51" spans="1:8" x14ac:dyDescent="0.25">
      <c r="A51" t="s">
        <v>323</v>
      </c>
      <c r="B51" t="s">
        <v>244</v>
      </c>
      <c r="C51" s="20">
        <v>45140.483313078701</v>
      </c>
      <c r="D51" t="s">
        <v>561</v>
      </c>
      <c r="E5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1" t="str">
        <f>_xlfn.LET(
_xlpm.ligne_pseudo,MATCH(discord[[#This Row],[name]],suivi[membre.prive.pseudo_discord],0),
_xlpm.membre_nom,INDEX(suivi['#support.nom],_xlpm.ligne_pseudo),
IFERROR(_xlpm.membre_nom,"")
)</f>
        <v/>
      </c>
      <c r="G5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1">
        <f>IF(SUBSTITUTE(SUBSTITUTE(LOWER(discord[[#This Row],[roles]]),"@everyone,",""),"@everyone","")&lt;&gt;LOWER(discord[[#This Row],[role_attendu]]),1,"")</f>
        <v>1</v>
      </c>
    </row>
    <row r="52" spans="1:8" x14ac:dyDescent="0.25">
      <c r="A52" t="s">
        <v>353</v>
      </c>
      <c r="B52" t="s">
        <v>14</v>
      </c>
      <c r="C52" s="20">
        <v>45177.621735833331</v>
      </c>
      <c r="D52" t="s">
        <v>561</v>
      </c>
      <c r="E5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2" t="str">
        <f>_xlfn.LET(
_xlpm.ligne_pseudo,MATCH(discord[[#This Row],[name]],suivi[membre.prive.pseudo_discord],0),
_xlpm.membre_nom,INDEX(suivi['#support.nom],_xlpm.ligne_pseudo),
IFERROR(_xlpm.membre_nom,"")
)</f>
        <v/>
      </c>
      <c r="G5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2">
        <f>IF(SUBSTITUTE(SUBSTITUTE(LOWER(discord[[#This Row],[roles]]),"@everyone,",""),"@everyone","")&lt;&gt;LOWER(discord[[#This Row],[role_attendu]]),1,"")</f>
        <v>1</v>
      </c>
    </row>
    <row r="53" spans="1:8" x14ac:dyDescent="0.25">
      <c r="A53" t="s">
        <v>374</v>
      </c>
      <c r="B53" t="s">
        <v>230</v>
      </c>
      <c r="C53" s="20">
        <v>45177.631807557867</v>
      </c>
      <c r="D53" t="s">
        <v>561</v>
      </c>
      <c r="E5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3" t="str">
        <f>_xlfn.LET(
_xlpm.ligne_pseudo,MATCH(discord[[#This Row],[name]],suivi[membre.prive.pseudo_discord],0),
_xlpm.membre_nom,INDEX(suivi['#support.nom],_xlpm.ligne_pseudo),
IFERROR(_xlpm.membre_nom,"")
)</f>
        <v/>
      </c>
      <c r="G5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3">
        <f>IF(SUBSTITUTE(SUBSTITUTE(LOWER(discord[[#This Row],[roles]]),"@everyone,",""),"@everyone","")&lt;&gt;LOWER(discord[[#This Row],[role_attendu]]),1,"")</f>
        <v>1</v>
      </c>
    </row>
    <row r="54" spans="1:8" x14ac:dyDescent="0.25">
      <c r="A54" t="s">
        <v>280</v>
      </c>
      <c r="B54" t="s">
        <v>316</v>
      </c>
      <c r="C54" s="20">
        <v>45177.716340925923</v>
      </c>
      <c r="D54" t="s">
        <v>561</v>
      </c>
      <c r="E5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4" t="str">
        <f>_xlfn.LET(
_xlpm.ligne_pseudo,MATCH(discord[[#This Row],[name]],suivi[membre.prive.pseudo_discord],0),
_xlpm.membre_nom,INDEX(suivi['#support.nom],_xlpm.ligne_pseudo),
IFERROR(_xlpm.membre_nom,"")
)</f>
        <v/>
      </c>
      <c r="G5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4">
        <f>IF(SUBSTITUTE(SUBSTITUTE(LOWER(discord[[#This Row],[roles]]),"@everyone,",""),"@everyone","")&lt;&gt;LOWER(discord[[#This Row],[role_attendu]]),1,"")</f>
        <v>1</v>
      </c>
    </row>
    <row r="55" spans="1:8" x14ac:dyDescent="0.25">
      <c r="A55" t="s">
        <v>345</v>
      </c>
      <c r="B55" t="s">
        <v>242</v>
      </c>
      <c r="C55" s="20">
        <v>45177.721446493058</v>
      </c>
      <c r="D55" t="s">
        <v>561</v>
      </c>
      <c r="E5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5" t="str">
        <f>_xlfn.LET(
_xlpm.ligne_pseudo,MATCH(discord[[#This Row],[name]],suivi[membre.prive.pseudo_discord],0),
_xlpm.membre_nom,INDEX(suivi['#support.nom],_xlpm.ligne_pseudo),
IFERROR(_xlpm.membre_nom,"")
)</f>
        <v/>
      </c>
      <c r="G5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5">
        <f>IF(SUBSTITUTE(SUBSTITUTE(LOWER(discord[[#This Row],[roles]]),"@everyone,",""),"@everyone","")&lt;&gt;LOWER(discord[[#This Row],[role_attendu]]),1,"")</f>
        <v>1</v>
      </c>
    </row>
    <row r="56" spans="1:8" x14ac:dyDescent="0.25">
      <c r="A56" t="s">
        <v>296</v>
      </c>
      <c r="B56" t="s">
        <v>86</v>
      </c>
      <c r="C56" s="20">
        <v>45177.851472800925</v>
      </c>
      <c r="D56" t="s">
        <v>561</v>
      </c>
      <c r="E5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6" t="str">
        <f>_xlfn.LET(
_xlpm.ligne_pseudo,MATCH(discord[[#This Row],[name]],suivi[membre.prive.pseudo_discord],0),
_xlpm.membre_nom,INDEX(suivi['#support.nom],_xlpm.ligne_pseudo),
IFERROR(_xlpm.membre_nom,"")
)</f>
        <v/>
      </c>
      <c r="G5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6">
        <f>IF(SUBSTITUTE(SUBSTITUTE(LOWER(discord[[#This Row],[roles]]),"@everyone,",""),"@everyone","")&lt;&gt;LOWER(discord[[#This Row],[role_attendu]]),1,"")</f>
        <v>1</v>
      </c>
    </row>
    <row r="57" spans="1:8" x14ac:dyDescent="0.25">
      <c r="A57" t="s">
        <v>535</v>
      </c>
      <c r="B57" t="s">
        <v>86</v>
      </c>
      <c r="C57" s="20">
        <v>45177.852725115743</v>
      </c>
      <c r="D57" t="s">
        <v>561</v>
      </c>
      <c r="E5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7" t="str">
        <f>_xlfn.LET(
_xlpm.ligne_pseudo,MATCH(discord[[#This Row],[name]],suivi[membre.prive.pseudo_discord],0),
_xlpm.membre_nom,INDEX(suivi['#support.nom],_xlpm.ligne_pseudo),
IFERROR(_xlpm.membre_nom,"")
)</f>
        <v/>
      </c>
      <c r="G5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7">
        <f>IF(SUBSTITUTE(SUBSTITUTE(LOWER(discord[[#This Row],[roles]]),"@everyone,",""),"@everyone","")&lt;&gt;LOWER(discord[[#This Row],[role_attendu]]),1,"")</f>
        <v>1</v>
      </c>
    </row>
    <row r="58" spans="1:8" x14ac:dyDescent="0.25">
      <c r="A58" t="s">
        <v>282</v>
      </c>
      <c r="B58" t="s">
        <v>326</v>
      </c>
      <c r="C58" s="20">
        <v>45178.553734224537</v>
      </c>
      <c r="D58" t="s">
        <v>561</v>
      </c>
      <c r="E5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8" t="str">
        <f>_xlfn.LET(
_xlpm.ligne_pseudo,MATCH(discord[[#This Row],[name]],suivi[membre.prive.pseudo_discord],0),
_xlpm.membre_nom,INDEX(suivi['#support.nom],_xlpm.ligne_pseudo),
IFERROR(_xlpm.membre_nom,"")
)</f>
        <v/>
      </c>
      <c r="G5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8">
        <f>IF(SUBSTITUTE(SUBSTITUTE(LOWER(discord[[#This Row],[roles]]),"@everyone,",""),"@everyone","")&lt;&gt;LOWER(discord[[#This Row],[role_attendu]]),1,"")</f>
        <v>1</v>
      </c>
    </row>
    <row r="59" spans="1:8" x14ac:dyDescent="0.25">
      <c r="A59" t="s">
        <v>291</v>
      </c>
      <c r="B59" t="s">
        <v>344</v>
      </c>
      <c r="C59" s="20">
        <v>45180.600584502317</v>
      </c>
      <c r="D59" t="s">
        <v>561</v>
      </c>
      <c r="E5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59" t="str">
        <f>_xlfn.LET(
_xlpm.ligne_pseudo,MATCH(discord[[#This Row],[name]],suivi[membre.prive.pseudo_discord],0),
_xlpm.membre_nom,INDEX(suivi['#support.nom],_xlpm.ligne_pseudo),
IFERROR(_xlpm.membre_nom,"")
)</f>
        <v/>
      </c>
      <c r="G5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59">
        <f>IF(SUBSTITUTE(SUBSTITUTE(LOWER(discord[[#This Row],[roles]]),"@everyone,",""),"@everyone","")&lt;&gt;LOWER(discord[[#This Row],[role_attendu]]),1,"")</f>
        <v>1</v>
      </c>
    </row>
    <row r="60" spans="1:8" x14ac:dyDescent="0.25">
      <c r="A60" t="s">
        <v>364</v>
      </c>
      <c r="B60" t="s">
        <v>223</v>
      </c>
      <c r="C60" s="20">
        <v>45184.635698530095</v>
      </c>
      <c r="D60" t="s">
        <v>562</v>
      </c>
      <c r="E6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0" t="str">
        <f>_xlfn.LET(
_xlpm.ligne_pseudo,MATCH(discord[[#This Row],[name]],suivi[membre.prive.pseudo_discord],0),
_xlpm.membre_nom,INDEX(suivi['#support.nom],_xlpm.ligne_pseudo),
IFERROR(_xlpm.membre_nom,"")
)</f>
        <v/>
      </c>
      <c r="G6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0">
        <f>IF(SUBSTITUTE(SUBSTITUTE(LOWER(discord[[#This Row],[roles]]),"@everyone,",""),"@everyone","")&lt;&gt;LOWER(discord[[#This Row],[role_attendu]]),1,"")</f>
        <v>1</v>
      </c>
    </row>
    <row r="61" spans="1:8" x14ac:dyDescent="0.25">
      <c r="A61" t="s">
        <v>366</v>
      </c>
      <c r="B61" t="s">
        <v>232</v>
      </c>
      <c r="C61" s="20">
        <v>45184.673552349537</v>
      </c>
      <c r="D61" t="s">
        <v>561</v>
      </c>
      <c r="E6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1" t="str">
        <f>_xlfn.LET(
_xlpm.ligne_pseudo,MATCH(discord[[#This Row],[name]],suivi[membre.prive.pseudo_discord],0),
_xlpm.membre_nom,INDEX(suivi['#support.nom],_xlpm.ligne_pseudo),
IFERROR(_xlpm.membre_nom,"")
)</f>
        <v/>
      </c>
      <c r="G6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1">
        <f>IF(SUBSTITUTE(SUBSTITUTE(LOWER(discord[[#This Row],[roles]]),"@everyone,",""),"@everyone","")&lt;&gt;LOWER(discord[[#This Row],[role_attendu]]),1,"")</f>
        <v>1</v>
      </c>
    </row>
    <row r="62" spans="1:8" x14ac:dyDescent="0.25">
      <c r="A62" t="s">
        <v>351</v>
      </c>
      <c r="B62" t="s">
        <v>234</v>
      </c>
      <c r="C62" s="20">
        <v>45185.41362162037</v>
      </c>
      <c r="D62" t="s">
        <v>561</v>
      </c>
      <c r="E6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2" t="str">
        <f>_xlfn.LET(
_xlpm.ligne_pseudo,MATCH(discord[[#This Row],[name]],suivi[membre.prive.pseudo_discord],0),
_xlpm.membre_nom,INDEX(suivi['#support.nom],_xlpm.ligne_pseudo),
IFERROR(_xlpm.membre_nom,"")
)</f>
        <v/>
      </c>
      <c r="G6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2">
        <f>IF(SUBSTITUTE(SUBSTITUTE(LOWER(discord[[#This Row],[roles]]),"@everyone,",""),"@everyone","")&lt;&gt;LOWER(discord[[#This Row],[role_attendu]]),1,"")</f>
        <v>1</v>
      </c>
    </row>
    <row r="63" spans="1:8" x14ac:dyDescent="0.25">
      <c r="A63" t="s">
        <v>370</v>
      </c>
      <c r="B63" t="s">
        <v>238</v>
      </c>
      <c r="C63" s="20">
        <v>45187.648406377317</v>
      </c>
      <c r="D63" t="s">
        <v>561</v>
      </c>
      <c r="E6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3" t="str">
        <f>_xlfn.LET(
_xlpm.ligne_pseudo,MATCH(discord[[#This Row],[name]],suivi[membre.prive.pseudo_discord],0),
_xlpm.membre_nom,INDEX(suivi['#support.nom],_xlpm.ligne_pseudo),
IFERROR(_xlpm.membre_nom,"")
)</f>
        <v/>
      </c>
      <c r="G6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3">
        <f>IF(SUBSTITUTE(SUBSTITUTE(LOWER(discord[[#This Row],[roles]]),"@everyone,",""),"@everyone","")&lt;&gt;LOWER(discord[[#This Row],[role_attendu]]),1,"")</f>
        <v>1</v>
      </c>
    </row>
    <row r="64" spans="1:8" x14ac:dyDescent="0.25">
      <c r="A64" t="s">
        <v>340</v>
      </c>
      <c r="B64" t="s">
        <v>99</v>
      </c>
      <c r="C64" s="20">
        <v>45190.339622928244</v>
      </c>
      <c r="D64" t="s">
        <v>561</v>
      </c>
      <c r="E6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4" t="str">
        <f>_xlfn.LET(
_xlpm.ligne_pseudo,MATCH(discord[[#This Row],[name]],suivi[membre.prive.pseudo_discord],0),
_xlpm.membre_nom,INDEX(suivi['#support.nom],_xlpm.ligne_pseudo),
IFERROR(_xlpm.membre_nom,"")
)</f>
        <v/>
      </c>
      <c r="G6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4">
        <f>IF(SUBSTITUTE(SUBSTITUTE(LOWER(discord[[#This Row],[roles]]),"@everyone,",""),"@everyone","")&lt;&gt;LOWER(discord[[#This Row],[role_attendu]]),1,"")</f>
        <v>1</v>
      </c>
    </row>
    <row r="65" spans="1:8" x14ac:dyDescent="0.25">
      <c r="A65" t="s">
        <v>318</v>
      </c>
      <c r="B65" t="s">
        <v>103</v>
      </c>
      <c r="C65" s="20">
        <v>45192.030524918984</v>
      </c>
      <c r="D65" t="s">
        <v>560</v>
      </c>
      <c r="E6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5" t="str">
        <f>_xlfn.LET(
_xlpm.ligne_pseudo,MATCH(discord[[#This Row],[name]],suivi[membre.prive.pseudo_discord],0),
_xlpm.membre_nom,INDEX(suivi['#support.nom],_xlpm.ligne_pseudo),
IFERROR(_xlpm.membre_nom,"")
)</f>
        <v/>
      </c>
      <c r="G6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5">
        <f>IF(SUBSTITUTE(SUBSTITUTE(LOWER(discord[[#This Row],[roles]]),"@everyone,",""),"@everyone","")&lt;&gt;LOWER(discord[[#This Row],[role_attendu]]),1,"")</f>
        <v>1</v>
      </c>
    </row>
    <row r="66" spans="1:8" x14ac:dyDescent="0.25">
      <c r="A66" t="s">
        <v>324</v>
      </c>
      <c r="B66" t="s">
        <v>222</v>
      </c>
      <c r="C66" s="20">
        <v>45205.9944019213</v>
      </c>
      <c r="D66" t="s">
        <v>561</v>
      </c>
      <c r="E6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6" t="str">
        <f>_xlfn.LET(
_xlpm.ligne_pseudo,MATCH(discord[[#This Row],[name]],suivi[membre.prive.pseudo_discord],0),
_xlpm.membre_nom,INDEX(suivi['#support.nom],_xlpm.ligne_pseudo),
IFERROR(_xlpm.membre_nom,"")
)</f>
        <v/>
      </c>
      <c r="G6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6">
        <f>IF(SUBSTITUTE(SUBSTITUTE(LOWER(discord[[#This Row],[roles]]),"@everyone,",""),"@everyone","")&lt;&gt;LOWER(discord[[#This Row],[role_attendu]]),1,"")</f>
        <v>1</v>
      </c>
    </row>
    <row r="67" spans="1:8" x14ac:dyDescent="0.25">
      <c r="A67" t="s">
        <v>335</v>
      </c>
      <c r="B67" t="s">
        <v>245</v>
      </c>
      <c r="C67" s="20">
        <v>45264.94313446759</v>
      </c>
      <c r="D67" t="s">
        <v>561</v>
      </c>
      <c r="E6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7" t="str">
        <f>_xlfn.LET(
_xlpm.ligne_pseudo,MATCH(discord[[#This Row],[name]],suivi[membre.prive.pseudo_discord],0),
_xlpm.membre_nom,INDEX(suivi['#support.nom],_xlpm.ligne_pseudo),
IFERROR(_xlpm.membre_nom,"")
)</f>
        <v/>
      </c>
      <c r="G6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7">
        <f>IF(SUBSTITUTE(SUBSTITUTE(LOWER(discord[[#This Row],[roles]]),"@everyone,",""),"@everyone","")&lt;&gt;LOWER(discord[[#This Row],[role_attendu]]),1,"")</f>
        <v>1</v>
      </c>
    </row>
    <row r="68" spans="1:8" x14ac:dyDescent="0.25">
      <c r="A68" t="s">
        <v>365</v>
      </c>
      <c r="B68" t="s">
        <v>77</v>
      </c>
      <c r="C68" s="20">
        <v>45329.871166631943</v>
      </c>
      <c r="D68" t="s">
        <v>564</v>
      </c>
      <c r="E6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8" t="str">
        <f>_xlfn.LET(
_xlpm.ligne_pseudo,MATCH(discord[[#This Row],[name]],suivi[membre.prive.pseudo_discord],0),
_xlpm.membre_nom,INDEX(suivi['#support.nom],_xlpm.ligne_pseudo),
IFERROR(_xlpm.membre_nom,"")
)</f>
        <v/>
      </c>
      <c r="G6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8">
        <f>IF(SUBSTITUTE(SUBSTITUTE(LOWER(discord[[#This Row],[roles]]),"@everyone,",""),"@everyone","")&lt;&gt;LOWER(discord[[#This Row],[role_attendu]]),1,"")</f>
        <v>1</v>
      </c>
    </row>
    <row r="69" spans="1:8" x14ac:dyDescent="0.25">
      <c r="A69" t="s">
        <v>356</v>
      </c>
      <c r="B69" t="s">
        <v>229</v>
      </c>
      <c r="C69" s="20">
        <v>45373.844653067128</v>
      </c>
      <c r="D69" t="s">
        <v>562</v>
      </c>
      <c r="E6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69" t="str">
        <f>_xlfn.LET(
_xlpm.ligne_pseudo,MATCH(discord[[#This Row],[name]],suivi[membre.prive.pseudo_discord],0),
_xlpm.membre_nom,INDEX(suivi['#support.nom],_xlpm.ligne_pseudo),
IFERROR(_xlpm.membre_nom,"")
)</f>
        <v/>
      </c>
      <c r="G6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69">
        <f>IF(SUBSTITUTE(SUBSTITUTE(LOWER(discord[[#This Row],[roles]]),"@everyone,",""),"@everyone","")&lt;&gt;LOWER(discord[[#This Row],[role_attendu]]),1,"")</f>
        <v>1</v>
      </c>
    </row>
    <row r="70" spans="1:8" x14ac:dyDescent="0.25">
      <c r="A70" t="s">
        <v>371</v>
      </c>
      <c r="B70" t="s">
        <v>279</v>
      </c>
      <c r="C70" s="20">
        <v>45465.817141527776</v>
      </c>
      <c r="D70" t="s">
        <v>561</v>
      </c>
      <c r="E7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0" t="str">
        <f>_xlfn.LET(
_xlpm.ligne_pseudo,MATCH(discord[[#This Row],[name]],suivi[membre.prive.pseudo_discord],0),
_xlpm.membre_nom,INDEX(suivi['#support.nom],_xlpm.ligne_pseudo),
IFERROR(_xlpm.membre_nom,"")
)</f>
        <v/>
      </c>
      <c r="G7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0">
        <f>IF(SUBSTITUTE(SUBSTITUTE(LOWER(discord[[#This Row],[roles]]),"@everyone,",""),"@everyone","")&lt;&gt;LOWER(discord[[#This Row],[role_attendu]]),1,"")</f>
        <v>1</v>
      </c>
    </row>
    <row r="71" spans="1:8" x14ac:dyDescent="0.25">
      <c r="A71" t="s">
        <v>377</v>
      </c>
      <c r="B71" t="s">
        <v>305</v>
      </c>
      <c r="C71" s="20">
        <v>45536.49639158565</v>
      </c>
      <c r="D71" t="s">
        <v>561</v>
      </c>
      <c r="E7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1" t="str">
        <f>_xlfn.LET(
_xlpm.ligne_pseudo,MATCH(discord[[#This Row],[name]],suivi[membre.prive.pseudo_discord],0),
_xlpm.membre_nom,INDEX(suivi['#support.nom],_xlpm.ligne_pseudo),
IFERROR(_xlpm.membre_nom,"")
)</f>
        <v/>
      </c>
      <c r="G7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1">
        <f>IF(SUBSTITUTE(SUBSTITUTE(LOWER(discord[[#This Row],[roles]]),"@everyone,",""),"@everyone","")&lt;&gt;LOWER(discord[[#This Row],[role_attendu]]),1,"")</f>
        <v>1</v>
      </c>
    </row>
    <row r="72" spans="1:8" x14ac:dyDescent="0.25">
      <c r="A72" t="s">
        <v>298</v>
      </c>
      <c r="B72" t="s">
        <v>359</v>
      </c>
      <c r="C72" s="20">
        <v>45536.564247256945</v>
      </c>
      <c r="D72" t="s">
        <v>561</v>
      </c>
      <c r="E7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2" t="str">
        <f>_xlfn.LET(
_xlpm.ligne_pseudo,MATCH(discord[[#This Row],[name]],suivi[membre.prive.pseudo_discord],0),
_xlpm.membre_nom,INDEX(suivi['#support.nom],_xlpm.ligne_pseudo),
IFERROR(_xlpm.membre_nom,"")
)</f>
        <v/>
      </c>
      <c r="G7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2">
        <f>IF(SUBSTITUTE(SUBSTITUTE(LOWER(discord[[#This Row],[roles]]),"@everyone,",""),"@everyone","")&lt;&gt;LOWER(discord[[#This Row],[role_attendu]]),1,"")</f>
        <v>1</v>
      </c>
    </row>
    <row r="73" spans="1:8" x14ac:dyDescent="0.25">
      <c r="A73" t="s">
        <v>288</v>
      </c>
      <c r="B73" t="s">
        <v>336</v>
      </c>
      <c r="C73" s="20">
        <v>45536.644685590276</v>
      </c>
      <c r="D73" t="s">
        <v>561</v>
      </c>
      <c r="E7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3" t="str">
        <f>_xlfn.LET(
_xlpm.ligne_pseudo,MATCH(discord[[#This Row],[name]],suivi[membre.prive.pseudo_discord],0),
_xlpm.membre_nom,INDEX(suivi['#support.nom],_xlpm.ligne_pseudo),
IFERROR(_xlpm.membre_nom,"")
)</f>
        <v/>
      </c>
      <c r="G7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3">
        <f>IF(SUBSTITUTE(SUBSTITUTE(LOWER(discord[[#This Row],[roles]]),"@everyone,",""),"@everyone","")&lt;&gt;LOWER(discord[[#This Row],[role_attendu]]),1,"")</f>
        <v>1</v>
      </c>
    </row>
    <row r="74" spans="1:8" x14ac:dyDescent="0.25">
      <c r="A74" t="s">
        <v>312</v>
      </c>
      <c r="B74" t="s">
        <v>186</v>
      </c>
      <c r="C74" s="20">
        <v>45536.702583333332</v>
      </c>
      <c r="D74" t="s">
        <v>562</v>
      </c>
      <c r="E7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4" t="str">
        <f>_xlfn.LET(
_xlpm.ligne_pseudo,MATCH(discord[[#This Row],[name]],suivi[membre.prive.pseudo_discord],0),
_xlpm.membre_nom,INDEX(suivi['#support.nom],_xlpm.ligne_pseudo),
IFERROR(_xlpm.membre_nom,"")
)</f>
        <v/>
      </c>
      <c r="G7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4">
        <f>IF(SUBSTITUTE(SUBSTITUTE(LOWER(discord[[#This Row],[roles]]),"@everyone,",""),"@everyone","")&lt;&gt;LOWER(discord[[#This Row],[role_attendu]]),1,"")</f>
        <v>1</v>
      </c>
    </row>
    <row r="75" spans="1:8" x14ac:dyDescent="0.25">
      <c r="A75" t="s">
        <v>306</v>
      </c>
      <c r="B75" t="s">
        <v>378</v>
      </c>
      <c r="C75" s="20">
        <v>45540.755339918978</v>
      </c>
      <c r="D75" t="s">
        <v>561</v>
      </c>
      <c r="E7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5" t="str">
        <f>_xlfn.LET(
_xlpm.ligne_pseudo,MATCH(discord[[#This Row],[name]],suivi[membre.prive.pseudo_discord],0),
_xlpm.membre_nom,INDEX(suivi['#support.nom],_xlpm.ligne_pseudo),
IFERROR(_xlpm.membre_nom,"")
)</f>
        <v/>
      </c>
      <c r="G7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5">
        <f>IF(SUBSTITUTE(SUBSTITUTE(LOWER(discord[[#This Row],[roles]]),"@everyone,",""),"@everyone","")&lt;&gt;LOWER(discord[[#This Row],[role_attendu]]),1,"")</f>
        <v>1</v>
      </c>
    </row>
    <row r="76" spans="1:8" x14ac:dyDescent="0.25">
      <c r="A76" t="s">
        <v>307</v>
      </c>
      <c r="B76" t="s">
        <v>379</v>
      </c>
      <c r="C76" s="20">
        <v>45541.842764849534</v>
      </c>
      <c r="D76" t="s">
        <v>564</v>
      </c>
      <c r="E7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6" t="str">
        <f>_xlfn.LET(
_xlpm.ligne_pseudo,MATCH(discord[[#This Row],[name]],suivi[membre.prive.pseudo_discord],0),
_xlpm.membre_nom,INDEX(suivi['#support.nom],_xlpm.ligne_pseudo),
IFERROR(_xlpm.membre_nom,"")
)</f>
        <v/>
      </c>
      <c r="G7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6">
        <f>IF(SUBSTITUTE(SUBSTITUTE(LOWER(discord[[#This Row],[roles]]),"@everyone,",""),"@everyone","")&lt;&gt;LOWER(discord[[#This Row],[role_attendu]]),1,"")</f>
        <v>1</v>
      </c>
    </row>
    <row r="77" spans="1:8" x14ac:dyDescent="0.25">
      <c r="A77" t="s">
        <v>308</v>
      </c>
      <c r="B77" t="s">
        <v>407</v>
      </c>
      <c r="C77" s="20">
        <v>45541.960601145831</v>
      </c>
      <c r="D77" t="s">
        <v>564</v>
      </c>
      <c r="E7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7" t="str">
        <f>_xlfn.LET(
_xlpm.ligne_pseudo,MATCH(discord[[#This Row],[name]],suivi[membre.prive.pseudo_discord],0),
_xlpm.membre_nom,INDEX(suivi['#support.nom],_xlpm.ligne_pseudo),
IFERROR(_xlpm.membre_nom,"")
)</f>
        <v/>
      </c>
      <c r="G7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7">
        <f>IF(SUBSTITUTE(SUBSTITUTE(LOWER(discord[[#This Row],[roles]]),"@everyone,",""),"@everyone","")&lt;&gt;LOWER(discord[[#This Row],[role_attendu]]),1,"")</f>
        <v>1</v>
      </c>
    </row>
    <row r="78" spans="1:8" x14ac:dyDescent="0.25">
      <c r="A78" t="s">
        <v>408</v>
      </c>
      <c r="B78" t="s">
        <v>409</v>
      </c>
      <c r="C78" s="20">
        <v>45548.688882708331</v>
      </c>
      <c r="D78" t="s">
        <v>561</v>
      </c>
      <c r="E7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8" t="str">
        <f>_xlfn.LET(
_xlpm.ligne_pseudo,MATCH(discord[[#This Row],[name]],suivi[membre.prive.pseudo_discord],0),
_xlpm.membre_nom,INDEX(suivi['#support.nom],_xlpm.ligne_pseudo),
IFERROR(_xlpm.membre_nom,"")
)</f>
        <v/>
      </c>
      <c r="G7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8">
        <f>IF(SUBSTITUTE(SUBSTITUTE(LOWER(discord[[#This Row],[roles]]),"@everyone,",""),"@everyone","")&lt;&gt;LOWER(discord[[#This Row],[role_attendu]]),1,"")</f>
        <v>1</v>
      </c>
    </row>
    <row r="79" spans="1:8" x14ac:dyDescent="0.25">
      <c r="A79" t="s">
        <v>402</v>
      </c>
      <c r="B79" t="s">
        <v>411</v>
      </c>
      <c r="C79" s="20">
        <v>45549.017781319446</v>
      </c>
      <c r="D79" t="s">
        <v>564</v>
      </c>
      <c r="E7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79" t="str">
        <f>_xlfn.LET(
_xlpm.ligne_pseudo,MATCH(discord[[#This Row],[name]],suivi[membre.prive.pseudo_discord],0),
_xlpm.membre_nom,INDEX(suivi['#support.nom],_xlpm.ligne_pseudo),
IFERROR(_xlpm.membre_nom,"")
)</f>
        <v/>
      </c>
      <c r="G7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79">
        <f>IF(SUBSTITUTE(SUBSTITUTE(LOWER(discord[[#This Row],[roles]]),"@everyone,",""),"@everyone","")&lt;&gt;LOWER(discord[[#This Row],[role_attendu]]),1,"")</f>
        <v>1</v>
      </c>
    </row>
    <row r="80" spans="1:8" x14ac:dyDescent="0.25">
      <c r="A80" t="s">
        <v>410</v>
      </c>
      <c r="B80" t="s">
        <v>571</v>
      </c>
      <c r="C80" s="20">
        <v>45555.819498553239</v>
      </c>
      <c r="D80" t="s">
        <v>562</v>
      </c>
      <c r="E8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0" t="str">
        <f>_xlfn.LET(
_xlpm.ligne_pseudo,MATCH(discord[[#This Row],[name]],suivi[membre.prive.pseudo_discord],0),
_xlpm.membre_nom,INDEX(suivi['#support.nom],_xlpm.ligne_pseudo),
IFERROR(_xlpm.membre_nom,"")
)</f>
        <v/>
      </c>
      <c r="G8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0">
        <f>IF(SUBSTITUTE(SUBSTITUTE(LOWER(discord[[#This Row],[roles]]),"@everyone,",""),"@everyone","")&lt;&gt;LOWER(discord[[#This Row],[role_attendu]]),1,"")</f>
        <v>1</v>
      </c>
    </row>
    <row r="81" spans="1:8" x14ac:dyDescent="0.25">
      <c r="A81" t="s">
        <v>412</v>
      </c>
      <c r="B81" t="s">
        <v>16</v>
      </c>
      <c r="C81" s="20">
        <v>45555.867458206019</v>
      </c>
      <c r="D81" t="s">
        <v>564</v>
      </c>
      <c r="E8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1" t="str">
        <f>_xlfn.LET(
_xlpm.ligne_pseudo,MATCH(discord[[#This Row],[name]],suivi[membre.prive.pseudo_discord],0),
_xlpm.membre_nom,INDEX(suivi['#support.nom],_xlpm.ligne_pseudo),
IFERROR(_xlpm.membre_nom,"")
)</f>
        <v/>
      </c>
      <c r="G8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1">
        <f>IF(SUBSTITUTE(SUBSTITUTE(LOWER(discord[[#This Row],[roles]]),"@everyone,",""),"@everyone","")&lt;&gt;LOWER(discord[[#This Row],[role_attendu]]),1,"")</f>
        <v>1</v>
      </c>
    </row>
    <row r="82" spans="1:8" x14ac:dyDescent="0.25">
      <c r="A82" t="s">
        <v>439</v>
      </c>
      <c r="B82" t="s">
        <v>572</v>
      </c>
      <c r="C82" s="20">
        <v>45563.027362314817</v>
      </c>
      <c r="D82" t="s">
        <v>562</v>
      </c>
      <c r="E8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2" t="str">
        <f>_xlfn.LET(
_xlpm.ligne_pseudo,MATCH(discord[[#This Row],[name]],suivi[membre.prive.pseudo_discord],0),
_xlpm.membre_nom,INDEX(suivi['#support.nom],_xlpm.ligne_pseudo),
IFERROR(_xlpm.membre_nom,"")
)</f>
        <v/>
      </c>
      <c r="G8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2">
        <f>IF(SUBSTITUTE(SUBSTITUTE(LOWER(discord[[#This Row],[roles]]),"@everyone,",""),"@everyone","")&lt;&gt;LOWER(discord[[#This Row],[role_attendu]]),1,"")</f>
        <v>1</v>
      </c>
    </row>
    <row r="83" spans="1:8" x14ac:dyDescent="0.25">
      <c r="A83" t="s">
        <v>436</v>
      </c>
      <c r="B83" t="s">
        <v>440</v>
      </c>
      <c r="C83" s="20">
        <v>45563.027831111111</v>
      </c>
      <c r="D83" t="s">
        <v>562</v>
      </c>
      <c r="E8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3" t="str">
        <f>_xlfn.LET(
_xlpm.ligne_pseudo,MATCH(discord[[#This Row],[name]],suivi[membre.prive.pseudo_discord],0),
_xlpm.membre_nom,INDEX(suivi['#support.nom],_xlpm.ligne_pseudo),
IFERROR(_xlpm.membre_nom,"")
)</f>
        <v/>
      </c>
      <c r="G8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3">
        <f>IF(SUBSTITUTE(SUBSTITUTE(LOWER(discord[[#This Row],[roles]]),"@everyone,",""),"@everyone","")&lt;&gt;LOWER(discord[[#This Row],[role_attendu]]),1,"")</f>
        <v>1</v>
      </c>
    </row>
    <row r="84" spans="1:8" x14ac:dyDescent="0.25">
      <c r="A84" t="s">
        <v>531</v>
      </c>
      <c r="B84" t="s">
        <v>450</v>
      </c>
      <c r="C84" s="20">
        <v>45568.976120439816</v>
      </c>
      <c r="D84" t="s">
        <v>561</v>
      </c>
      <c r="E8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4" t="str">
        <f>_xlfn.LET(
_xlpm.ligne_pseudo,MATCH(discord[[#This Row],[name]],suivi[membre.prive.pseudo_discord],0),
_xlpm.membre_nom,INDEX(suivi['#support.nom],_xlpm.ligne_pseudo),
IFERROR(_xlpm.membre_nom,"")
)</f>
        <v/>
      </c>
      <c r="G8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4">
        <f>IF(SUBSTITUTE(SUBSTITUTE(LOWER(discord[[#This Row],[roles]]),"@everyone,",""),"@everyone","")&lt;&gt;LOWER(discord[[#This Row],[role_attendu]]),1,"")</f>
        <v>1</v>
      </c>
    </row>
    <row r="85" spans="1:8" x14ac:dyDescent="0.25">
      <c r="A85" t="s">
        <v>452</v>
      </c>
      <c r="B85" t="s">
        <v>107</v>
      </c>
      <c r="C85" s="20">
        <v>45576.861409212965</v>
      </c>
      <c r="D85" t="s">
        <v>562</v>
      </c>
      <c r="E8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5" t="str">
        <f>_xlfn.LET(
_xlpm.ligne_pseudo,MATCH(discord[[#This Row],[name]],suivi[membre.prive.pseudo_discord],0),
_xlpm.membre_nom,INDEX(suivi['#support.nom],_xlpm.ligne_pseudo),
IFERROR(_xlpm.membre_nom,"")
)</f>
        <v/>
      </c>
      <c r="G8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5">
        <f>IF(SUBSTITUTE(SUBSTITUTE(LOWER(discord[[#This Row],[roles]]),"@everyone,",""),"@everyone","")&lt;&gt;LOWER(discord[[#This Row],[role_attendu]]),1,"")</f>
        <v>1</v>
      </c>
    </row>
    <row r="86" spans="1:8" x14ac:dyDescent="0.25">
      <c r="A86" t="s">
        <v>456</v>
      </c>
      <c r="B86" t="s">
        <v>19</v>
      </c>
      <c r="C86" s="20">
        <v>45583.849927083334</v>
      </c>
      <c r="D86" t="s">
        <v>562</v>
      </c>
      <c r="E8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6" t="str">
        <f>_xlfn.LET(
_xlpm.ligne_pseudo,MATCH(discord[[#This Row],[name]],suivi[membre.prive.pseudo_discord],0),
_xlpm.membre_nom,INDEX(suivi['#support.nom],_xlpm.ligne_pseudo),
IFERROR(_xlpm.membre_nom,"")
)</f>
        <v/>
      </c>
      <c r="G8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6">
        <f>IF(SUBSTITUTE(SUBSTITUTE(LOWER(discord[[#This Row],[roles]]),"@everyone,",""),"@everyone","")&lt;&gt;LOWER(discord[[#This Row],[role_attendu]]),1,"")</f>
        <v>1</v>
      </c>
    </row>
    <row r="87" spans="1:8" x14ac:dyDescent="0.25">
      <c r="A87" t="s">
        <v>458</v>
      </c>
      <c r="B87" t="s">
        <v>88</v>
      </c>
      <c r="C87" s="20">
        <v>45590.967519143516</v>
      </c>
      <c r="D87" t="s">
        <v>561</v>
      </c>
      <c r="E8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7" t="str">
        <f>_xlfn.LET(
_xlpm.ligne_pseudo,MATCH(discord[[#This Row],[name]],suivi[membre.prive.pseudo_discord],0),
_xlpm.membre_nom,INDEX(suivi['#support.nom],_xlpm.ligne_pseudo),
IFERROR(_xlpm.membre_nom,"")
)</f>
        <v/>
      </c>
      <c r="G8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7">
        <f>IF(SUBSTITUTE(SUBSTITUTE(LOWER(discord[[#This Row],[roles]]),"@everyone,",""),"@everyone","")&lt;&gt;LOWER(discord[[#This Row],[role_attendu]]),1,"")</f>
        <v>1</v>
      </c>
    </row>
    <row r="88" spans="1:8" x14ac:dyDescent="0.25">
      <c r="A88" t="s">
        <v>457</v>
      </c>
      <c r="B88" t="s">
        <v>457</v>
      </c>
      <c r="C88" s="20">
        <v>45598.031499571756</v>
      </c>
      <c r="D88" t="s">
        <v>562</v>
      </c>
      <c r="E8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8" t="str">
        <f>_xlfn.LET(
_xlpm.ligne_pseudo,MATCH(discord[[#This Row],[name]],suivi[membre.prive.pseudo_discord],0),
_xlpm.membre_nom,INDEX(suivi['#support.nom],_xlpm.ligne_pseudo),
IFERROR(_xlpm.membre_nom,"")
)</f>
        <v/>
      </c>
      <c r="G8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8">
        <f>IF(SUBSTITUTE(SUBSTITUTE(LOWER(discord[[#This Row],[roles]]),"@everyone,",""),"@everyone","")&lt;&gt;LOWER(discord[[#This Row],[role_attendu]]),1,"")</f>
        <v>1</v>
      </c>
    </row>
    <row r="89" spans="1:8" x14ac:dyDescent="0.25">
      <c r="A89" t="s">
        <v>414</v>
      </c>
      <c r="B89" t="s">
        <v>459</v>
      </c>
      <c r="C89" s="20">
        <v>45598.504032152778</v>
      </c>
      <c r="D89" t="s">
        <v>564</v>
      </c>
      <c r="E8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89" t="str">
        <f>_xlfn.LET(
_xlpm.ligne_pseudo,MATCH(discord[[#This Row],[name]],suivi[membre.prive.pseudo_discord],0),
_xlpm.membre_nom,INDEX(suivi['#support.nom],_xlpm.ligne_pseudo),
IFERROR(_xlpm.membre_nom,"")
)</f>
        <v/>
      </c>
      <c r="G8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89">
        <f>IF(SUBSTITUTE(SUBSTITUTE(LOWER(discord[[#This Row],[roles]]),"@everyone,",""),"@everyone","")&lt;&gt;LOWER(discord[[#This Row],[role_attendu]]),1,"")</f>
        <v>1</v>
      </c>
    </row>
    <row r="90" spans="1:8" x14ac:dyDescent="0.25">
      <c r="A90" t="s">
        <v>462</v>
      </c>
      <c r="B90" t="s">
        <v>461</v>
      </c>
      <c r="C90" s="20">
        <v>45611.841192210646</v>
      </c>
      <c r="D90" t="s">
        <v>564</v>
      </c>
      <c r="E9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0" t="str">
        <f>_xlfn.LET(
_xlpm.ligne_pseudo,MATCH(discord[[#This Row],[name]],suivi[membre.prive.pseudo_discord],0),
_xlpm.membre_nom,INDEX(suivi['#support.nom],_xlpm.ligne_pseudo),
IFERROR(_xlpm.membre_nom,"")
)</f>
        <v/>
      </c>
      <c r="G9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0">
        <f>IF(SUBSTITUTE(SUBSTITUTE(LOWER(discord[[#This Row],[roles]]),"@everyone,",""),"@everyone","")&lt;&gt;LOWER(discord[[#This Row],[role_attendu]]),1,"")</f>
        <v>1</v>
      </c>
    </row>
    <row r="91" spans="1:8" x14ac:dyDescent="0.25">
      <c r="A91" t="s">
        <v>533</v>
      </c>
      <c r="B91" t="s">
        <v>534</v>
      </c>
      <c r="C91" s="20">
        <v>45631.751912789354</v>
      </c>
      <c r="D91" t="s">
        <v>561</v>
      </c>
      <c r="E9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1" t="str">
        <f>_xlfn.LET(
_xlpm.ligne_pseudo,MATCH(discord[[#This Row],[name]],suivi[membre.prive.pseudo_discord],0),
_xlpm.membre_nom,INDEX(suivi['#support.nom],_xlpm.ligne_pseudo),
IFERROR(_xlpm.membre_nom,"")
)</f>
        <v/>
      </c>
      <c r="G9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1">
        <f>IF(SUBSTITUTE(SUBSTITUTE(LOWER(discord[[#This Row],[roles]]),"@everyone,",""),"@everyone","")&lt;&gt;LOWER(discord[[#This Row],[role_attendu]]),1,"")</f>
        <v>1</v>
      </c>
    </row>
    <row r="92" spans="1:8" x14ac:dyDescent="0.25">
      <c r="A92" t="s">
        <v>464</v>
      </c>
      <c r="B92" t="s">
        <v>465</v>
      </c>
      <c r="C92" s="20">
        <v>45667.993165127315</v>
      </c>
      <c r="D92" t="s">
        <v>561</v>
      </c>
      <c r="E9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2" t="str">
        <f>_xlfn.LET(
_xlpm.ligne_pseudo,MATCH(discord[[#This Row],[name]],suivi[membre.prive.pseudo_discord],0),
_xlpm.membre_nom,INDEX(suivi['#support.nom],_xlpm.ligne_pseudo),
IFERROR(_xlpm.membre_nom,"")
)</f>
        <v/>
      </c>
      <c r="G9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2">
        <f>IF(SUBSTITUTE(SUBSTITUTE(LOWER(discord[[#This Row],[roles]]),"@everyone,",""),"@everyone","")&lt;&gt;LOWER(discord[[#This Row],[role_attendu]]),1,"")</f>
        <v>1</v>
      </c>
    </row>
    <row r="93" spans="1:8" x14ac:dyDescent="0.25">
      <c r="A93" t="s">
        <v>471</v>
      </c>
      <c r="B93" t="s">
        <v>470</v>
      </c>
      <c r="C93" s="20">
        <v>45702.624613680557</v>
      </c>
      <c r="D93" t="s">
        <v>561</v>
      </c>
      <c r="E9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3" t="str">
        <f>_xlfn.LET(
_xlpm.ligne_pseudo,MATCH(discord[[#This Row],[name]],suivi[membre.prive.pseudo_discord],0),
_xlpm.membre_nom,INDEX(suivi['#support.nom],_xlpm.ligne_pseudo),
IFERROR(_xlpm.membre_nom,"")
)</f>
        <v/>
      </c>
      <c r="G9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3">
        <f>IF(SUBSTITUTE(SUBSTITUTE(LOWER(discord[[#This Row],[roles]]),"@everyone,",""),"@everyone","")&lt;&gt;LOWER(discord[[#This Row],[role_attendu]]),1,"")</f>
        <v>1</v>
      </c>
    </row>
    <row r="94" spans="1:8" x14ac:dyDescent="0.25">
      <c r="A94" t="s">
        <v>472</v>
      </c>
      <c r="B94" t="s">
        <v>573</v>
      </c>
      <c r="C94" s="20">
        <v>45709.608358726851</v>
      </c>
      <c r="D94" t="s">
        <v>564</v>
      </c>
      <c r="E9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4" t="str">
        <f>_xlfn.LET(
_xlpm.ligne_pseudo,MATCH(discord[[#This Row],[name]],suivi[membre.prive.pseudo_discord],0),
_xlpm.membre_nom,INDEX(suivi['#support.nom],_xlpm.ligne_pseudo),
IFERROR(_xlpm.membre_nom,"")
)</f>
        <v/>
      </c>
      <c r="G9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4">
        <f>IF(SUBSTITUTE(SUBSTITUTE(LOWER(discord[[#This Row],[roles]]),"@everyone,",""),"@everyone","")&lt;&gt;LOWER(discord[[#This Row],[role_attendu]]),1,"")</f>
        <v>1</v>
      </c>
    </row>
    <row r="95" spans="1:8" x14ac:dyDescent="0.25">
      <c r="A95" t="s">
        <v>477</v>
      </c>
      <c r="B95" t="s">
        <v>476</v>
      </c>
      <c r="C95" s="20">
        <v>45773.036665497682</v>
      </c>
      <c r="D95" t="s">
        <v>564</v>
      </c>
      <c r="E9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5" t="str">
        <f>_xlfn.LET(
_xlpm.ligne_pseudo,MATCH(discord[[#This Row],[name]],suivi[membre.prive.pseudo_discord],0),
_xlpm.membre_nom,INDEX(suivi['#support.nom],_xlpm.ligne_pseudo),
IFERROR(_xlpm.membre_nom,"")
)</f>
        <v/>
      </c>
      <c r="G9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5">
        <f>IF(SUBSTITUTE(SUBSTITUTE(LOWER(discord[[#This Row],[roles]]),"@everyone,",""),"@everyone","")&lt;&gt;LOWER(discord[[#This Row],[role_attendu]]),1,"")</f>
        <v>1</v>
      </c>
    </row>
    <row r="96" spans="1:8" x14ac:dyDescent="0.25">
      <c r="A96" t="s">
        <v>497</v>
      </c>
      <c r="B96" t="s">
        <v>496</v>
      </c>
      <c r="C96" s="20">
        <v>45907.458460185182</v>
      </c>
      <c r="D96" t="s">
        <v>561</v>
      </c>
      <c r="E9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6" t="str">
        <f>_xlfn.LET(
_xlpm.ligne_pseudo,MATCH(discord[[#This Row],[name]],suivi[membre.prive.pseudo_discord],0),
_xlpm.membre_nom,INDEX(suivi['#support.nom],_xlpm.ligne_pseudo),
IFERROR(_xlpm.membre_nom,"")
)</f>
        <v/>
      </c>
      <c r="G9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6">
        <f>IF(SUBSTITUTE(SUBSTITUTE(LOWER(discord[[#This Row],[roles]]),"@everyone,",""),"@everyone","")&lt;&gt;LOWER(discord[[#This Row],[role_attendu]]),1,"")</f>
        <v>1</v>
      </c>
    </row>
    <row r="97" spans="1:8" x14ac:dyDescent="0.25">
      <c r="A97" t="s">
        <v>498</v>
      </c>
      <c r="B97" t="s">
        <v>499</v>
      </c>
      <c r="C97" s="20">
        <v>45907.458983009259</v>
      </c>
      <c r="D97" t="s">
        <v>561</v>
      </c>
      <c r="E9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7" t="str">
        <f>_xlfn.LET(
_xlpm.ligne_pseudo,MATCH(discord[[#This Row],[name]],suivi[membre.prive.pseudo_discord],0),
_xlpm.membre_nom,INDEX(suivi['#support.nom],_xlpm.ligne_pseudo),
IFERROR(_xlpm.membre_nom,"")
)</f>
        <v/>
      </c>
      <c r="G9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7">
        <f>IF(SUBSTITUTE(SUBSTITUTE(LOWER(discord[[#This Row],[roles]]),"@everyone,",""),"@everyone","")&lt;&gt;LOWER(discord[[#This Row],[role_attendu]]),1,"")</f>
        <v>1</v>
      </c>
    </row>
    <row r="98" spans="1:8" x14ac:dyDescent="0.25">
      <c r="A98" t="s">
        <v>500</v>
      </c>
      <c r="B98" t="s">
        <v>501</v>
      </c>
      <c r="C98" s="20">
        <v>45907.488250127317</v>
      </c>
      <c r="D98" t="s">
        <v>561</v>
      </c>
      <c r="E9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8" t="str">
        <f>_xlfn.LET(
_xlpm.ligne_pseudo,MATCH(discord[[#This Row],[name]],suivi[membre.prive.pseudo_discord],0),
_xlpm.membre_nom,INDEX(suivi['#support.nom],_xlpm.ligne_pseudo),
IFERROR(_xlpm.membre_nom,"")
)</f>
        <v/>
      </c>
      <c r="G9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8">
        <f>IF(SUBSTITUTE(SUBSTITUTE(LOWER(discord[[#This Row],[roles]]),"@everyone,",""),"@everyone","")&lt;&gt;LOWER(discord[[#This Row],[role_attendu]]),1,"")</f>
        <v>1</v>
      </c>
    </row>
    <row r="99" spans="1:8" x14ac:dyDescent="0.25">
      <c r="A99" t="s">
        <v>502</v>
      </c>
      <c r="B99" t="s">
        <v>489</v>
      </c>
      <c r="C99" s="20">
        <v>45907.490468518517</v>
      </c>
      <c r="D99" t="s">
        <v>561</v>
      </c>
      <c r="E9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99" t="str">
        <f>_xlfn.LET(
_xlpm.ligne_pseudo,MATCH(discord[[#This Row],[name]],suivi[membre.prive.pseudo_discord],0),
_xlpm.membre_nom,INDEX(suivi['#support.nom],_xlpm.ligne_pseudo),
IFERROR(_xlpm.membre_nom,"")
)</f>
        <v/>
      </c>
      <c r="G9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99">
        <f>IF(SUBSTITUTE(SUBSTITUTE(LOWER(discord[[#This Row],[roles]]),"@everyone,",""),"@everyone","")&lt;&gt;LOWER(discord[[#This Row],[role_attendu]]),1,"")</f>
        <v>1</v>
      </c>
    </row>
    <row r="100" spans="1:8" x14ac:dyDescent="0.25">
      <c r="A100" t="s">
        <v>503</v>
      </c>
      <c r="B100" t="s">
        <v>106</v>
      </c>
      <c r="C100" s="20">
        <v>45907.525976400466</v>
      </c>
      <c r="D100" t="s">
        <v>561</v>
      </c>
      <c r="E10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0" t="str">
        <f>_xlfn.LET(
_xlpm.ligne_pseudo,MATCH(discord[[#This Row],[name]],suivi[membre.prive.pseudo_discord],0),
_xlpm.membre_nom,INDEX(suivi['#support.nom],_xlpm.ligne_pseudo),
IFERROR(_xlpm.membre_nom,"")
)</f>
        <v/>
      </c>
      <c r="G10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0">
        <f>IF(SUBSTITUTE(SUBSTITUTE(LOWER(discord[[#This Row],[roles]]),"@everyone,",""),"@everyone","")&lt;&gt;LOWER(discord[[#This Row],[role_attendu]]),1,"")</f>
        <v>1</v>
      </c>
    </row>
    <row r="101" spans="1:8" x14ac:dyDescent="0.25">
      <c r="A101" t="s">
        <v>505</v>
      </c>
      <c r="B101" t="s">
        <v>504</v>
      </c>
      <c r="C101" s="20">
        <v>45907.53072372685</v>
      </c>
      <c r="D101" t="s">
        <v>564</v>
      </c>
      <c r="E10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1" t="str">
        <f>_xlfn.LET(
_xlpm.ligne_pseudo,MATCH(discord[[#This Row],[name]],suivi[membre.prive.pseudo_discord],0),
_xlpm.membre_nom,INDEX(suivi['#support.nom],_xlpm.ligne_pseudo),
IFERROR(_xlpm.membre_nom,"")
)</f>
        <v/>
      </c>
      <c r="G10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1">
        <f>IF(SUBSTITUTE(SUBSTITUTE(LOWER(discord[[#This Row],[roles]]),"@everyone,",""),"@everyone","")&lt;&gt;LOWER(discord[[#This Row],[role_attendu]]),1,"")</f>
        <v>1</v>
      </c>
    </row>
    <row r="102" spans="1:8" x14ac:dyDescent="0.25">
      <c r="A102" t="s">
        <v>507</v>
      </c>
      <c r="B102" t="s">
        <v>506</v>
      </c>
      <c r="C102" s="20">
        <v>45907.548181597223</v>
      </c>
      <c r="D102" t="s">
        <v>561</v>
      </c>
      <c r="E10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2" t="str">
        <f>_xlfn.LET(
_xlpm.ligne_pseudo,MATCH(discord[[#This Row],[name]],suivi[membre.prive.pseudo_discord],0),
_xlpm.membre_nom,INDEX(suivi['#support.nom],_xlpm.ligne_pseudo),
IFERROR(_xlpm.membre_nom,"")
)</f>
        <v/>
      </c>
      <c r="G10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2">
        <f>IF(SUBSTITUTE(SUBSTITUTE(LOWER(discord[[#This Row],[roles]]),"@everyone,",""),"@everyone","")&lt;&gt;LOWER(discord[[#This Row],[role_attendu]]),1,"")</f>
        <v>1</v>
      </c>
    </row>
    <row r="103" spans="1:8" x14ac:dyDescent="0.25">
      <c r="A103" t="s">
        <v>509</v>
      </c>
      <c r="B103" t="s">
        <v>508</v>
      </c>
      <c r="C103" s="20">
        <v>45907.548859525465</v>
      </c>
      <c r="D103" t="s">
        <v>564</v>
      </c>
      <c r="E10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3" t="str">
        <f>_xlfn.LET(
_xlpm.ligne_pseudo,MATCH(discord[[#This Row],[name]],suivi[membre.prive.pseudo_discord],0),
_xlpm.membre_nom,INDEX(suivi['#support.nom],_xlpm.ligne_pseudo),
IFERROR(_xlpm.membre_nom,"")
)</f>
        <v/>
      </c>
      <c r="G10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3">
        <f>IF(SUBSTITUTE(SUBSTITUTE(LOWER(discord[[#This Row],[roles]]),"@everyone,",""),"@everyone","")&lt;&gt;LOWER(discord[[#This Row],[role_attendu]]),1,"")</f>
        <v>1</v>
      </c>
    </row>
    <row r="104" spans="1:8" x14ac:dyDescent="0.25">
      <c r="A104" t="s">
        <v>510</v>
      </c>
      <c r="B104" t="s">
        <v>510</v>
      </c>
      <c r="C104" s="20">
        <v>45907.580144618056</v>
      </c>
      <c r="D104" t="s">
        <v>561</v>
      </c>
      <c r="E10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4" t="str">
        <f>_xlfn.LET(
_xlpm.ligne_pseudo,MATCH(discord[[#This Row],[name]],suivi[membre.prive.pseudo_discord],0),
_xlpm.membre_nom,INDEX(suivi['#support.nom],_xlpm.ligne_pseudo),
IFERROR(_xlpm.membre_nom,"")
)</f>
        <v/>
      </c>
      <c r="G10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4">
        <f>IF(SUBSTITUTE(SUBSTITUTE(LOWER(discord[[#This Row],[roles]]),"@everyone,",""),"@everyone","")&lt;&gt;LOWER(discord[[#This Row],[role_attendu]]),1,"")</f>
        <v>1</v>
      </c>
    </row>
    <row r="105" spans="1:8" x14ac:dyDescent="0.25">
      <c r="A105" t="s">
        <v>511</v>
      </c>
      <c r="B105" t="s">
        <v>574</v>
      </c>
      <c r="C105" s="20">
        <v>45907.600829641204</v>
      </c>
      <c r="D105" t="s">
        <v>561</v>
      </c>
      <c r="E105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5" t="str">
        <f>_xlfn.LET(
_xlpm.ligne_pseudo,MATCH(discord[[#This Row],[name]],suivi[membre.prive.pseudo_discord],0),
_xlpm.membre_nom,INDEX(suivi['#support.nom],_xlpm.ligne_pseudo),
IFERROR(_xlpm.membre_nom,"")
)</f>
        <v/>
      </c>
      <c r="G105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5">
        <f>IF(SUBSTITUTE(SUBSTITUTE(LOWER(discord[[#This Row],[roles]]),"@everyone,",""),"@everyone","")&lt;&gt;LOWER(discord[[#This Row],[role_attendu]]),1,"")</f>
        <v>1</v>
      </c>
    </row>
    <row r="106" spans="1:8" x14ac:dyDescent="0.25">
      <c r="A106" t="s">
        <v>512</v>
      </c>
      <c r="B106" t="s">
        <v>495</v>
      </c>
      <c r="C106" s="20">
        <v>45907.684055995371</v>
      </c>
      <c r="D106" t="s">
        <v>564</v>
      </c>
      <c r="E10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6" t="str">
        <f>_xlfn.LET(
_xlpm.ligne_pseudo,MATCH(discord[[#This Row],[name]],suivi[membre.prive.pseudo_discord],0),
_xlpm.membre_nom,INDEX(suivi['#support.nom],_xlpm.ligne_pseudo),
IFERROR(_xlpm.membre_nom,"")
)</f>
        <v/>
      </c>
      <c r="G10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6">
        <f>IF(SUBSTITUTE(SUBSTITUTE(LOWER(discord[[#This Row],[roles]]),"@everyone,",""),"@everyone","")&lt;&gt;LOWER(discord[[#This Row],[role_attendu]]),1,"")</f>
        <v>1</v>
      </c>
    </row>
    <row r="107" spans="1:8" x14ac:dyDescent="0.25">
      <c r="A107" t="s">
        <v>513</v>
      </c>
      <c r="B107" t="s">
        <v>514</v>
      </c>
      <c r="C107" s="20">
        <v>45907.720933784723</v>
      </c>
      <c r="D107" t="s">
        <v>564</v>
      </c>
      <c r="E10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7" t="str">
        <f>_xlfn.LET(
_xlpm.ligne_pseudo,MATCH(discord[[#This Row],[name]],suivi[membre.prive.pseudo_discord],0),
_xlpm.membre_nom,INDEX(suivi['#support.nom],_xlpm.ligne_pseudo),
IFERROR(_xlpm.membre_nom,"")
)</f>
        <v/>
      </c>
      <c r="G10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7">
        <f>IF(SUBSTITUTE(SUBSTITUTE(LOWER(discord[[#This Row],[roles]]),"@everyone,",""),"@everyone","")&lt;&gt;LOWER(discord[[#This Row],[role_attendu]]),1,"")</f>
        <v>1</v>
      </c>
    </row>
    <row r="108" spans="1:8" x14ac:dyDescent="0.25">
      <c r="A108" t="s">
        <v>515</v>
      </c>
      <c r="B108" t="s">
        <v>516</v>
      </c>
      <c r="C108" s="20">
        <v>45907.916854814815</v>
      </c>
      <c r="D108" t="s">
        <v>561</v>
      </c>
      <c r="E10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8" t="str">
        <f>_xlfn.LET(
_xlpm.ligne_pseudo,MATCH(discord[[#This Row],[name]],suivi[membre.prive.pseudo_discord],0),
_xlpm.membre_nom,INDEX(suivi['#support.nom],_xlpm.ligne_pseudo),
IFERROR(_xlpm.membre_nom,"")
)</f>
        <v/>
      </c>
      <c r="G10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8">
        <f>IF(SUBSTITUTE(SUBSTITUTE(LOWER(discord[[#This Row],[roles]]),"@everyone,",""),"@everyone","")&lt;&gt;LOWER(discord[[#This Row],[role_attendu]]),1,"")</f>
        <v>1</v>
      </c>
    </row>
    <row r="109" spans="1:8" x14ac:dyDescent="0.25">
      <c r="A109" t="s">
        <v>525</v>
      </c>
      <c r="B109" t="s">
        <v>526</v>
      </c>
      <c r="C109" s="20">
        <v>45910.94257363426</v>
      </c>
      <c r="D109" t="s">
        <v>561</v>
      </c>
      <c r="E10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09" t="str">
        <f>_xlfn.LET(
_xlpm.ligne_pseudo,MATCH(discord[[#This Row],[name]],suivi[membre.prive.pseudo_discord],0),
_xlpm.membre_nom,INDEX(suivi['#support.nom],_xlpm.ligne_pseudo),
IFERROR(_xlpm.membre_nom,"")
)</f>
        <v/>
      </c>
      <c r="G10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09">
        <f>IF(SUBSTITUTE(SUBSTITUTE(LOWER(discord[[#This Row],[roles]]),"@everyone,",""),"@everyone","")&lt;&gt;LOWER(discord[[#This Row],[role_attendu]]),1,"")</f>
        <v>1</v>
      </c>
    </row>
    <row r="110" spans="1:8" x14ac:dyDescent="0.25">
      <c r="A110" t="s">
        <v>527</v>
      </c>
      <c r="B110" t="s">
        <v>528</v>
      </c>
      <c r="C110" s="20">
        <v>45911.361528229165</v>
      </c>
      <c r="D110" t="s">
        <v>561</v>
      </c>
      <c r="E11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0" t="str">
        <f>_xlfn.LET(
_xlpm.ligne_pseudo,MATCH(discord[[#This Row],[name]],suivi[membre.prive.pseudo_discord],0),
_xlpm.membre_nom,INDEX(suivi['#support.nom],_xlpm.ligne_pseudo),
IFERROR(_xlpm.membre_nom,"")
)</f>
        <v/>
      </c>
      <c r="G11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0">
        <f>IF(SUBSTITUTE(SUBSTITUTE(LOWER(discord[[#This Row],[roles]]),"@everyone,",""),"@everyone","")&lt;&gt;LOWER(discord[[#This Row],[role_attendu]]),1,"")</f>
        <v>1</v>
      </c>
    </row>
    <row r="111" spans="1:8" x14ac:dyDescent="0.25">
      <c r="A111" t="s">
        <v>588</v>
      </c>
      <c r="B111" t="s">
        <v>529</v>
      </c>
      <c r="C111" s="20">
        <v>45912.759877719909</v>
      </c>
      <c r="D111" t="s">
        <v>561</v>
      </c>
      <c r="E11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1" t="str">
        <f>_xlfn.LET(
_xlpm.ligne_pseudo,MATCH(discord[[#This Row],[name]],suivi[membre.prive.pseudo_discord],0),
_xlpm.membre_nom,INDEX(suivi['#support.nom],_xlpm.ligne_pseudo),
IFERROR(_xlpm.membre_nom,"")
)</f>
        <v/>
      </c>
      <c r="G11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1">
        <f>IF(SUBSTITUTE(SUBSTITUTE(LOWER(discord[[#This Row],[roles]]),"@everyone,",""),"@everyone","")&lt;&gt;LOWER(discord[[#This Row],[role_attendu]]),1,"")</f>
        <v>1</v>
      </c>
    </row>
    <row r="112" spans="1:8" x14ac:dyDescent="0.25">
      <c r="A112" t="s">
        <v>546</v>
      </c>
      <c r="B112" t="s">
        <v>547</v>
      </c>
      <c r="C112" s="20">
        <v>45914.897883912039</v>
      </c>
      <c r="D112" t="s">
        <v>561</v>
      </c>
      <c r="E11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2" t="str">
        <f>_xlfn.LET(
_xlpm.ligne_pseudo,MATCH(discord[[#This Row],[name]],suivi[membre.prive.pseudo_discord],0),
_xlpm.membre_nom,INDEX(suivi['#support.nom],_xlpm.ligne_pseudo),
IFERROR(_xlpm.membre_nom,"")
)</f>
        <v/>
      </c>
      <c r="G11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2">
        <f>IF(SUBSTITUTE(SUBSTITUTE(LOWER(discord[[#This Row],[roles]]),"@everyone,",""),"@everyone","")&lt;&gt;LOWER(discord[[#This Row],[role_attendu]]),1,"")</f>
        <v>1</v>
      </c>
    </row>
    <row r="113" spans="1:8" x14ac:dyDescent="0.25">
      <c r="A113" t="s">
        <v>548</v>
      </c>
      <c r="B113" t="s">
        <v>55</v>
      </c>
      <c r="C113" s="20">
        <v>45914.998140752316</v>
      </c>
      <c r="D113" t="s">
        <v>561</v>
      </c>
      <c r="E11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3" t="str">
        <f>_xlfn.LET(
_xlpm.ligne_pseudo,MATCH(discord[[#This Row],[name]],suivi[membre.prive.pseudo_discord],0),
_xlpm.membre_nom,INDEX(suivi['#support.nom],_xlpm.ligne_pseudo),
IFERROR(_xlpm.membre_nom,"")
)</f>
        <v/>
      </c>
      <c r="G11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3">
        <f>IF(SUBSTITUTE(SUBSTITUTE(LOWER(discord[[#This Row],[roles]]),"@everyone,",""),"@everyone","")&lt;&gt;LOWER(discord[[#This Row],[role_attendu]]),1,"")</f>
        <v>1</v>
      </c>
    </row>
    <row r="114" spans="1:8" x14ac:dyDescent="0.25">
      <c r="A114" t="s">
        <v>549</v>
      </c>
      <c r="B114" t="s">
        <v>549</v>
      </c>
      <c r="C114" s="20">
        <v>45915.884681724536</v>
      </c>
      <c r="D114" t="s">
        <v>564</v>
      </c>
      <c r="E11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4" t="str">
        <f>_xlfn.LET(
_xlpm.ligne_pseudo,MATCH(discord[[#This Row],[name]],suivi[membre.prive.pseudo_discord],0),
_xlpm.membre_nom,INDEX(suivi['#support.nom],_xlpm.ligne_pseudo),
IFERROR(_xlpm.membre_nom,"")
)</f>
        <v/>
      </c>
      <c r="G11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4">
        <f>IF(SUBSTITUTE(SUBSTITUTE(LOWER(discord[[#This Row],[roles]]),"@everyone,",""),"@everyone","")&lt;&gt;LOWER(discord[[#This Row],[role_attendu]]),1,"")</f>
        <v>1</v>
      </c>
    </row>
    <row r="115" spans="1:8" x14ac:dyDescent="0.25">
      <c r="A115" t="s">
        <v>575</v>
      </c>
      <c r="B115" t="s">
        <v>575</v>
      </c>
      <c r="C115" s="20">
        <v>45921.735668148147</v>
      </c>
      <c r="D115" t="s">
        <v>576</v>
      </c>
      <c r="E115" s="10">
        <f>_xlfn.LET(
_xlpm.ligne_pseudo,MATCH(discord[[#This Row],[name]],suivi[membre.prive.pseudo_discord],0),
_xlpm.membre_id,INDEX(suivi[membre.id],_xlpm.ligne_pseudo),
IFERROR(IF(_xlpm.membre_id="","",_xlpm.membre_id),"")
)</f>
        <v>4</v>
      </c>
      <c r="F115" t="str">
        <f>_xlfn.LET(
_xlpm.ligne_pseudo,MATCH(discord[[#This Row],[name]],suivi[membre.prive.pseudo_discord],0),
_xlpm.membre_nom,INDEX(suivi['#support.nom],_xlpm.ligne_pseudo),
IFERROR(_xlpm.membre_nom,"")
)</f>
        <v>[discord] VbrBot</v>
      </c>
      <c r="G115" t="str">
        <f>IFERROR(
INDEX(#REF!,
      MATCH(INDEX(annuaire[saison.asso_role],
                  MATCH(discord[[#This Row],[membre.id]],annuaire[id],0)),#REF!,
            0)),
IF(discord[[#This Row],[membre.nom_userfriendly]]="","",ecuyer))</f>
        <v>Ecuyer de l'assaut</v>
      </c>
      <c r="H115">
        <f>IF(SUBSTITUTE(SUBSTITUTE(LOWER(discord[[#This Row],[roles]]),"@everyone,",""),"@everyone","")&lt;&gt;LOWER(discord[[#This Row],[role_attendu]]),1,"")</f>
        <v>1</v>
      </c>
    </row>
    <row r="116" spans="1:8" x14ac:dyDescent="0.25">
      <c r="A116" t="s">
        <v>581</v>
      </c>
      <c r="B116" t="s">
        <v>582</v>
      </c>
      <c r="C116" s="20">
        <v>45926.969578206015</v>
      </c>
      <c r="D116" t="s">
        <v>561</v>
      </c>
      <c r="E116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6" t="str">
        <f>_xlfn.LET(
_xlpm.ligne_pseudo,MATCH(discord[[#This Row],[name]],suivi[membre.prive.pseudo_discord],0),
_xlpm.membre_nom,INDEX(suivi['#support.nom],_xlpm.ligne_pseudo),
IFERROR(_xlpm.membre_nom,"")
)</f>
        <v/>
      </c>
      <c r="G116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6">
        <f>IF(SUBSTITUTE(SUBSTITUTE(LOWER(discord[[#This Row],[roles]]),"@everyone,",""),"@everyone","")&lt;&gt;LOWER(discord[[#This Row],[role_attendu]]),1,"")</f>
        <v>1</v>
      </c>
    </row>
    <row r="117" spans="1:8" x14ac:dyDescent="0.25">
      <c r="A117" t="s">
        <v>583</v>
      </c>
      <c r="B117" t="s">
        <v>584</v>
      </c>
      <c r="C117" s="20">
        <v>45927.018676388892</v>
      </c>
      <c r="D117" t="s">
        <v>564</v>
      </c>
      <c r="E117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7" t="str">
        <f>_xlfn.LET(
_xlpm.ligne_pseudo,MATCH(discord[[#This Row],[name]],suivi[membre.prive.pseudo_discord],0),
_xlpm.membre_nom,INDEX(suivi['#support.nom],_xlpm.ligne_pseudo),
IFERROR(_xlpm.membre_nom,"")
)</f>
        <v/>
      </c>
      <c r="G117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7">
        <f>IF(SUBSTITUTE(SUBSTITUTE(LOWER(discord[[#This Row],[roles]]),"@everyone,",""),"@everyone","")&lt;&gt;LOWER(discord[[#This Row],[role_attendu]]),1,"")</f>
        <v>1</v>
      </c>
    </row>
    <row r="118" spans="1:8" x14ac:dyDescent="0.25">
      <c r="A118" t="s">
        <v>589</v>
      </c>
      <c r="B118" t="s">
        <v>589</v>
      </c>
      <c r="C118" s="20">
        <v>45929.284604791668</v>
      </c>
      <c r="D118" t="s">
        <v>561</v>
      </c>
      <c r="E118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8" t="str">
        <f>_xlfn.LET(
_xlpm.ligne_pseudo,MATCH(discord[[#This Row],[name]],suivi[membre.prive.pseudo_discord],0),
_xlpm.membre_nom,INDEX(suivi['#support.nom],_xlpm.ligne_pseudo),
IFERROR(_xlpm.membre_nom,"")
)</f>
        <v/>
      </c>
      <c r="G118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8">
        <f>IF(SUBSTITUTE(SUBSTITUTE(LOWER(discord[[#This Row],[roles]]),"@everyone,",""),"@everyone","")&lt;&gt;LOWER(discord[[#This Row],[role_attendu]]),1,"")</f>
        <v>1</v>
      </c>
    </row>
    <row r="119" spans="1:8" x14ac:dyDescent="0.25">
      <c r="A119" t="s">
        <v>590</v>
      </c>
      <c r="B119" t="s">
        <v>591</v>
      </c>
      <c r="C119" s="20">
        <v>45931.493454664349</v>
      </c>
      <c r="D119" t="s">
        <v>561</v>
      </c>
      <c r="E119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19" t="str">
        <f>_xlfn.LET(
_xlpm.ligne_pseudo,MATCH(discord[[#This Row],[name]],suivi[membre.prive.pseudo_discord],0),
_xlpm.membre_nom,INDEX(suivi['#support.nom],_xlpm.ligne_pseudo),
IFERROR(_xlpm.membre_nom,"")
)</f>
        <v/>
      </c>
      <c r="G119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19">
        <f>IF(SUBSTITUTE(SUBSTITUTE(LOWER(discord[[#This Row],[roles]]),"@everyone,",""),"@everyone","")&lt;&gt;LOWER(discord[[#This Row],[role_attendu]]),1,"")</f>
        <v>1</v>
      </c>
    </row>
    <row r="120" spans="1:8" x14ac:dyDescent="0.25">
      <c r="A120" t="s">
        <v>592</v>
      </c>
      <c r="B120" t="s">
        <v>593</v>
      </c>
      <c r="C120" s="20">
        <v>45931.723274594908</v>
      </c>
      <c r="D120" t="s">
        <v>594</v>
      </c>
      <c r="E120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20" t="str">
        <f>_xlfn.LET(
_xlpm.ligne_pseudo,MATCH(discord[[#This Row],[name]],suivi[membre.prive.pseudo_discord],0),
_xlpm.membre_nom,INDEX(suivi['#support.nom],_xlpm.ligne_pseudo),
IFERROR(_xlpm.membre_nom,"")
)</f>
        <v/>
      </c>
      <c r="G120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20" t="str">
        <f>IF(SUBSTITUTE(SUBSTITUTE(LOWER(discord[[#This Row],[roles]]),"@everyone,",""),"@everyone","")&lt;&gt;LOWER(discord[[#This Row],[role_attendu]]),1,"")</f>
        <v/>
      </c>
    </row>
    <row r="121" spans="1:8" x14ac:dyDescent="0.25">
      <c r="A121" t="s">
        <v>595</v>
      </c>
      <c r="B121" t="s">
        <v>596</v>
      </c>
      <c r="C121" s="20">
        <v>45932.881262719908</v>
      </c>
      <c r="D121" t="s">
        <v>564</v>
      </c>
      <c r="E121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21" t="str">
        <f>_xlfn.LET(
_xlpm.ligne_pseudo,MATCH(discord[[#This Row],[name]],suivi[membre.prive.pseudo_discord],0),
_xlpm.membre_nom,INDEX(suivi['#support.nom],_xlpm.ligne_pseudo),
IFERROR(_xlpm.membre_nom,"")
)</f>
        <v/>
      </c>
      <c r="G121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21">
        <f>IF(SUBSTITUTE(SUBSTITUTE(LOWER(discord[[#This Row],[roles]]),"@everyone,",""),"@everyone","")&lt;&gt;LOWER(discord[[#This Row],[role_attendu]]),1,"")</f>
        <v>1</v>
      </c>
    </row>
    <row r="122" spans="1:8" x14ac:dyDescent="0.25">
      <c r="A122" t="s">
        <v>601</v>
      </c>
      <c r="B122" t="s">
        <v>304</v>
      </c>
      <c r="C122" s="20">
        <v>45940.908404872687</v>
      </c>
      <c r="D122" t="s">
        <v>564</v>
      </c>
      <c r="E122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22" t="str">
        <f>_xlfn.LET(
_xlpm.ligne_pseudo,MATCH(discord[[#This Row],[name]],suivi[membre.prive.pseudo_discord],0),
_xlpm.membre_nom,INDEX(suivi['#support.nom],_xlpm.ligne_pseudo),
IFERROR(_xlpm.membre_nom,"")
)</f>
        <v/>
      </c>
      <c r="G122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22">
        <f>IF(SUBSTITUTE(SUBSTITUTE(LOWER(discord[[#This Row],[roles]]),"@everyone,",""),"@everyone","")&lt;&gt;LOWER(discord[[#This Row],[role_attendu]]),1,"")</f>
        <v>1</v>
      </c>
    </row>
    <row r="123" spans="1:8" x14ac:dyDescent="0.25">
      <c r="A123" t="s">
        <v>602</v>
      </c>
      <c r="B123" t="s">
        <v>26</v>
      </c>
      <c r="C123" s="20">
        <v>45940.912059768518</v>
      </c>
      <c r="D123" t="s">
        <v>564</v>
      </c>
      <c r="E123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23" t="str">
        <f>_xlfn.LET(
_xlpm.ligne_pseudo,MATCH(discord[[#This Row],[name]],suivi[membre.prive.pseudo_discord],0),
_xlpm.membre_nom,INDEX(suivi['#support.nom],_xlpm.ligne_pseudo),
IFERROR(_xlpm.membre_nom,"")
)</f>
        <v/>
      </c>
      <c r="G123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23">
        <f>IF(SUBSTITUTE(SUBSTITUTE(LOWER(discord[[#This Row],[roles]]),"@everyone,",""),"@everyone","")&lt;&gt;LOWER(discord[[#This Row],[role_attendu]]),1,"")</f>
        <v>1</v>
      </c>
    </row>
    <row r="124" spans="1:8" x14ac:dyDescent="0.25">
      <c r="A124" t="s">
        <v>603</v>
      </c>
      <c r="B124" t="s">
        <v>604</v>
      </c>
      <c r="C124" s="20">
        <v>45940.974822766206</v>
      </c>
      <c r="D124" t="s">
        <v>564</v>
      </c>
      <c r="E124" s="10" t="str">
        <f>_xlfn.LET(
_xlpm.ligne_pseudo,MATCH(discord[[#This Row],[name]],suivi[membre.prive.pseudo_discord],0),
_xlpm.membre_id,INDEX(suivi[membre.id],_xlpm.ligne_pseudo),
IFERROR(IF(_xlpm.membre_id="","",_xlpm.membre_id),"")
)</f>
        <v/>
      </c>
      <c r="F124" t="str">
        <f>_xlfn.LET(
_xlpm.ligne_pseudo,MATCH(discord[[#This Row],[name]],suivi[membre.prive.pseudo_discord],0),
_xlpm.membre_nom,INDEX(suivi['#support.nom],_xlpm.ligne_pseudo),
IFERROR(_xlpm.membre_nom,"")
)</f>
        <v/>
      </c>
      <c r="G124" t="str">
        <f>IFERROR(
INDEX(#REF!,
      MATCH(INDEX(annuaire[saison.asso_role],
                  MATCH(discord[[#This Row],[membre.id]],annuaire[id],0)),#REF!,
            0)),
IF(discord[[#This Row],[membre.nom_userfriendly]]="","",ecuyer))</f>
        <v/>
      </c>
      <c r="H124">
        <f>IF(SUBSTITUTE(SUBSTITUTE(LOWER(discord[[#This Row],[roles]]),"@everyone,",""),"@everyone","")&lt;&gt;LOWER(discord[[#This Row],[role_attendu]]),1,"")</f>
        <v>1</v>
      </c>
    </row>
  </sheetData>
  <phoneticPr fontId="2" type="noConversion"/>
  <conditionalFormatting sqref="A3:H124">
    <cfRule type="expression" dxfId="1" priority="11">
      <formula>$H3=1</formula>
    </cfRule>
  </conditionalFormatting>
  <conditionalFormatting sqref="A1:XFD1048576">
    <cfRule type="expression" dxfId="0" priority="6">
      <formula>_xlfn.ISFORMULA(A1)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9ACD-A0A5-417F-8401-CEBA0A2F8545}">
  <dimension ref="A1:L165"/>
  <sheetViews>
    <sheetView workbookViewId="0">
      <selection activeCell="K3" sqref="K3"/>
    </sheetView>
  </sheetViews>
  <sheetFormatPr defaultRowHeight="15" x14ac:dyDescent="0.25"/>
  <cols>
    <col min="1" max="1" width="5" bestFit="1" customWidth="1"/>
    <col min="2" max="2" width="15" bestFit="1" customWidth="1"/>
    <col min="3" max="3" width="19.5703125" bestFit="1" customWidth="1"/>
    <col min="4" max="4" width="16.7109375" bestFit="1" customWidth="1"/>
    <col min="5" max="5" width="15.7109375" bestFit="1" customWidth="1"/>
    <col min="6" max="6" width="13.85546875" bestFit="1" customWidth="1"/>
    <col min="7" max="7" width="14.7109375" bestFit="1" customWidth="1"/>
    <col min="8" max="8" width="11.5703125" customWidth="1"/>
    <col min="9" max="9" width="17.42578125" bestFit="1" customWidth="1"/>
    <col min="10" max="10" width="17.85546875" bestFit="1" customWidth="1"/>
    <col min="11" max="11" width="14.42578125" bestFit="1" customWidth="1"/>
    <col min="12" max="13" width="15.140625" bestFit="1" customWidth="1"/>
    <col min="14" max="14" width="19.5703125" bestFit="1" customWidth="1"/>
    <col min="15" max="15" width="11.140625" bestFit="1" customWidth="1"/>
  </cols>
  <sheetData>
    <row r="1" spans="1:12" x14ac:dyDescent="0.25">
      <c r="A1" t="s">
        <v>217</v>
      </c>
      <c r="B1" t="s">
        <v>636</v>
      </c>
      <c r="C1" t="s">
        <v>383</v>
      </c>
      <c r="D1" t="s">
        <v>652</v>
      </c>
      <c r="E1" t="s">
        <v>653</v>
      </c>
      <c r="F1" t="s">
        <v>626</v>
      </c>
      <c r="G1" t="s">
        <v>627</v>
      </c>
      <c r="H1" t="s">
        <v>628</v>
      </c>
      <c r="I1" t="s">
        <v>630</v>
      </c>
      <c r="J1" t="s">
        <v>631</v>
      </c>
      <c r="K1" t="s">
        <v>632</v>
      </c>
      <c r="L1" t="s">
        <v>633</v>
      </c>
    </row>
    <row r="2" spans="1:12" x14ac:dyDescent="0.25">
      <c r="A2">
        <v>1</v>
      </c>
      <c r="B2">
        <v>1</v>
      </c>
      <c r="C2" t="s">
        <v>357</v>
      </c>
      <c r="D2" s="20">
        <v>46040.740520833337</v>
      </c>
      <c r="F2" t="s">
        <v>25</v>
      </c>
      <c r="G2" t="s">
        <v>24</v>
      </c>
      <c r="H2" s="1"/>
      <c r="I2" t="e">
        <f>_xlfn.LET(_xlpm.ref_val,INDEX(annuaire[nom],MATCH(#REF!,annuaire[id],0)),
_xlpm.db_val,members[[#This Row],[last_name]],
IF(_xlpm.ref_val=_xlpm.db_val,"","!!"))</f>
        <v>#REF!</v>
      </c>
      <c r="J2" t="e">
        <f>_xlfn.LET(_xlpm.ref_val,INDEX(annuaire[prenom],MATCH(#REF!,annuaire[id],0)),
_xlpm.db_val,members[[#This Row],[first_name]],
IF(_xlpm.ref_val=_xlpm.db_val,"","!!"))</f>
        <v>#REF!</v>
      </c>
      <c r="K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" t="e">
        <f>_xlfn.LET(_xlpm.ref_val,INDEX(annuaire[pseudo_discord],MATCH(#REF!,annuaire[id],0)),
_xlpm.db_val,members[[#This Row],[discord]],
IF(_xlpm.ref_val=_xlpm.db_val,"","!!"))</f>
        <v>#REF!</v>
      </c>
    </row>
    <row r="3" spans="1:12" x14ac:dyDescent="0.25">
      <c r="A3">
        <v>2</v>
      </c>
      <c r="B3">
        <v>2</v>
      </c>
      <c r="C3" t="s">
        <v>414</v>
      </c>
      <c r="D3" s="20">
        <v>46040.740520833337</v>
      </c>
      <c r="F3" t="s">
        <v>32</v>
      </c>
      <c r="G3" t="s">
        <v>31</v>
      </c>
      <c r="H3" s="1">
        <v>30533</v>
      </c>
      <c r="I3" t="e">
        <f>_xlfn.LET(_xlpm.ref_val,INDEX(annuaire[nom],MATCH(#REF!,annuaire[id],0)),
_xlpm.db_val,members[[#This Row],[last_name]],
IF(_xlpm.ref_val=_xlpm.db_val,"","!!"))</f>
        <v>#REF!</v>
      </c>
      <c r="J3" t="e">
        <f>_xlfn.LET(_xlpm.ref_val,INDEX(annuaire[prenom],MATCH(#REF!,annuaire[id],0)),
_xlpm.db_val,members[[#This Row],[first_name]],
IF(_xlpm.ref_val=_xlpm.db_val,"","!!"))</f>
        <v>#REF!</v>
      </c>
      <c r="K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" t="e">
        <f>_xlfn.LET(_xlpm.ref_val,INDEX(annuaire[pseudo_discord],MATCH(#REF!,annuaire[id],0)),
_xlpm.db_val,members[[#This Row],[discord]],
IF(_xlpm.ref_val=_xlpm.db_val,"","!!"))</f>
        <v>#REF!</v>
      </c>
    </row>
    <row r="4" spans="1:12" x14ac:dyDescent="0.25">
      <c r="A4">
        <v>3</v>
      </c>
      <c r="B4">
        <v>4</v>
      </c>
      <c r="C4" t="s">
        <v>332</v>
      </c>
      <c r="D4" s="20">
        <v>46040.740520833337</v>
      </c>
      <c r="F4" t="s">
        <v>96</v>
      </c>
      <c r="G4" t="s">
        <v>95</v>
      </c>
      <c r="H4" s="1">
        <v>33103</v>
      </c>
      <c r="I4" t="e">
        <f>_xlfn.LET(_xlpm.ref_val,INDEX(annuaire[nom],MATCH(#REF!,annuaire[id],0)),
_xlpm.db_val,members[[#This Row],[last_name]],
IF(_xlpm.ref_val=_xlpm.db_val,"","!!"))</f>
        <v>#REF!</v>
      </c>
      <c r="J4" t="e">
        <f>_xlfn.LET(_xlpm.ref_val,INDEX(annuaire[prenom],MATCH(#REF!,annuaire[id],0)),
_xlpm.db_val,members[[#This Row],[first_name]],
IF(_xlpm.ref_val=_xlpm.db_val,"","!!"))</f>
        <v>#REF!</v>
      </c>
      <c r="K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" t="e">
        <f>_xlfn.LET(_xlpm.ref_val,INDEX(annuaire[pseudo_discord],MATCH(#REF!,annuaire[id],0)),
_xlpm.db_val,members[[#This Row],[discord]],
IF(_xlpm.ref_val=_xlpm.db_val,"","!!"))</f>
        <v>#REF!</v>
      </c>
    </row>
    <row r="5" spans="1:12" x14ac:dyDescent="0.25">
      <c r="A5">
        <v>4</v>
      </c>
      <c r="B5">
        <v>3</v>
      </c>
      <c r="C5" t="s">
        <v>320</v>
      </c>
      <c r="D5" s="20">
        <v>46040.740520833337</v>
      </c>
      <c r="F5" t="s">
        <v>140</v>
      </c>
      <c r="G5" t="s">
        <v>139</v>
      </c>
      <c r="H5" s="1">
        <v>29642</v>
      </c>
      <c r="I5" t="e">
        <f>_xlfn.LET(_xlpm.ref_val,INDEX(annuaire[nom],MATCH(#REF!,annuaire[id],0)),
_xlpm.db_val,members[[#This Row],[last_name]],
IF(_xlpm.ref_val=_xlpm.db_val,"","!!"))</f>
        <v>#REF!</v>
      </c>
      <c r="J5" t="e">
        <f>_xlfn.LET(_xlpm.ref_val,INDEX(annuaire[prenom],MATCH(#REF!,annuaire[id],0)),
_xlpm.db_val,members[[#This Row],[first_name]],
IF(_xlpm.ref_val=_xlpm.db_val,"","!!"))</f>
        <v>#REF!</v>
      </c>
      <c r="K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" t="e">
        <f>_xlfn.LET(_xlpm.ref_val,INDEX(annuaire[pseudo_discord],MATCH(#REF!,annuaire[id],0)),
_xlpm.db_val,members[[#This Row],[discord]],
IF(_xlpm.ref_val=_xlpm.db_val,"","!!"))</f>
        <v>#REF!</v>
      </c>
    </row>
    <row r="6" spans="1:12" x14ac:dyDescent="0.25">
      <c r="A6">
        <v>5</v>
      </c>
      <c r="B6">
        <v>6</v>
      </c>
      <c r="C6" t="s">
        <v>343</v>
      </c>
      <c r="D6" s="20">
        <v>46040.740520833337</v>
      </c>
      <c r="F6" t="s">
        <v>168</v>
      </c>
      <c r="G6" t="s">
        <v>167</v>
      </c>
      <c r="H6" s="1">
        <v>32922</v>
      </c>
      <c r="I6" t="e">
        <f>_xlfn.LET(_xlpm.ref_val,INDEX(annuaire[nom],MATCH(#REF!,annuaire[id],0)),
_xlpm.db_val,members[[#This Row],[last_name]],
IF(_xlpm.ref_val=_xlpm.db_val,"","!!"))</f>
        <v>#REF!</v>
      </c>
      <c r="J6" t="e">
        <f>_xlfn.LET(_xlpm.ref_val,INDEX(annuaire[prenom],MATCH(#REF!,annuaire[id],0)),
_xlpm.db_val,members[[#This Row],[first_name]],
IF(_xlpm.ref_val=_xlpm.db_val,"","!!"))</f>
        <v>#REF!</v>
      </c>
      <c r="K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" t="e">
        <f>_xlfn.LET(_xlpm.ref_val,INDEX(annuaire[pseudo_discord],MATCH(#REF!,annuaire[id],0)),
_xlpm.db_val,members[[#This Row],[discord]],
IF(_xlpm.ref_val=_xlpm.db_val,"","!!"))</f>
        <v>#REF!</v>
      </c>
    </row>
    <row r="7" spans="1:12" x14ac:dyDescent="0.25">
      <c r="A7">
        <v>6</v>
      </c>
      <c r="B7">
        <v>7</v>
      </c>
      <c r="C7" t="s">
        <v>330</v>
      </c>
      <c r="D7" s="20">
        <v>46040.740520833337</v>
      </c>
      <c r="F7" t="s">
        <v>79</v>
      </c>
      <c r="G7" t="s">
        <v>78</v>
      </c>
      <c r="H7" s="1">
        <v>33562</v>
      </c>
      <c r="I7" t="e">
        <f>_xlfn.LET(_xlpm.ref_val,INDEX(annuaire[nom],MATCH(#REF!,annuaire[id],0)),
_xlpm.db_val,members[[#This Row],[last_name]],
IF(_xlpm.ref_val=_xlpm.db_val,"","!!"))</f>
        <v>#REF!</v>
      </c>
      <c r="J7" t="e">
        <f>_xlfn.LET(_xlpm.ref_val,INDEX(annuaire[prenom],MATCH(#REF!,annuaire[id],0)),
_xlpm.db_val,members[[#This Row],[first_name]],
IF(_xlpm.ref_val=_xlpm.db_val,"","!!"))</f>
        <v>#REF!</v>
      </c>
      <c r="K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" t="e">
        <f>_xlfn.LET(_xlpm.ref_val,INDEX(annuaire[pseudo_discord],MATCH(#REF!,annuaire[id],0)),
_xlpm.db_val,members[[#This Row],[discord]],
IF(_xlpm.ref_val=_xlpm.db_val,"","!!"))</f>
        <v>#REF!</v>
      </c>
    </row>
    <row r="8" spans="1:12" x14ac:dyDescent="0.25">
      <c r="A8">
        <v>7</v>
      </c>
      <c r="B8">
        <v>8</v>
      </c>
      <c r="C8" t="s">
        <v>352</v>
      </c>
      <c r="D8" s="20">
        <v>46040.740520833337</v>
      </c>
      <c r="F8" t="s">
        <v>38</v>
      </c>
      <c r="G8" t="s">
        <v>126</v>
      </c>
      <c r="H8" s="1">
        <v>28715</v>
      </c>
      <c r="I8" t="e">
        <f>_xlfn.LET(_xlpm.ref_val,INDEX(annuaire[nom],MATCH(#REF!,annuaire[id],0)),
_xlpm.db_val,members[[#This Row],[last_name]],
IF(_xlpm.ref_val=_xlpm.db_val,"","!!"))</f>
        <v>#REF!</v>
      </c>
      <c r="J8" t="e">
        <f>_xlfn.LET(_xlpm.ref_val,INDEX(annuaire[prenom],MATCH(#REF!,annuaire[id],0)),
_xlpm.db_val,members[[#This Row],[first_name]],
IF(_xlpm.ref_val=_xlpm.db_val,"","!!"))</f>
        <v>#REF!</v>
      </c>
      <c r="K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" t="e">
        <f>_xlfn.LET(_xlpm.ref_val,INDEX(annuaire[pseudo_discord],MATCH(#REF!,annuaire[id],0)),
_xlpm.db_val,members[[#This Row],[discord]],
IF(_xlpm.ref_val=_xlpm.db_val,"","!!"))</f>
        <v>#REF!</v>
      </c>
    </row>
    <row r="9" spans="1:12" x14ac:dyDescent="0.25">
      <c r="A9">
        <v>8</v>
      </c>
      <c r="B9">
        <v>10</v>
      </c>
      <c r="C9" t="s">
        <v>328</v>
      </c>
      <c r="D9" s="20">
        <v>46040.740520833337</v>
      </c>
      <c r="F9" t="s">
        <v>154</v>
      </c>
      <c r="G9" t="s">
        <v>173</v>
      </c>
      <c r="H9" s="1">
        <v>24716</v>
      </c>
      <c r="I9" t="e">
        <f>_xlfn.LET(_xlpm.ref_val,INDEX(annuaire[nom],MATCH(#REF!,annuaire[id],0)),
_xlpm.db_val,members[[#This Row],[last_name]],
IF(_xlpm.ref_val=_xlpm.db_val,"","!!"))</f>
        <v>#REF!</v>
      </c>
      <c r="J9" t="e">
        <f>_xlfn.LET(_xlpm.ref_val,INDEX(annuaire[prenom],MATCH(#REF!,annuaire[id],0)),
_xlpm.db_val,members[[#This Row],[first_name]],
IF(_xlpm.ref_val=_xlpm.db_val,"","!!"))</f>
        <v>#REF!</v>
      </c>
      <c r="K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" t="e">
        <f>_xlfn.LET(_xlpm.ref_val,INDEX(annuaire[pseudo_discord],MATCH(#REF!,annuaire[id],0)),
_xlpm.db_val,members[[#This Row],[discord]],
IF(_xlpm.ref_val=_xlpm.db_val,"","!!"))</f>
        <v>#REF!</v>
      </c>
    </row>
    <row r="10" spans="1:12" x14ac:dyDescent="0.25">
      <c r="A10">
        <v>9</v>
      </c>
      <c r="B10">
        <v>11</v>
      </c>
      <c r="C10" t="s">
        <v>314</v>
      </c>
      <c r="D10" s="20">
        <v>46040.740520833337</v>
      </c>
      <c r="F10" t="s">
        <v>154</v>
      </c>
      <c r="G10" t="s">
        <v>153</v>
      </c>
      <c r="H10" s="1">
        <v>26453</v>
      </c>
      <c r="I10" t="e">
        <f>_xlfn.LET(_xlpm.ref_val,INDEX(annuaire[nom],MATCH(#REF!,annuaire[id],0)),
_xlpm.db_val,members[[#This Row],[last_name]],
IF(_xlpm.ref_val=_xlpm.db_val,"","!!"))</f>
        <v>#REF!</v>
      </c>
      <c r="J10" t="e">
        <f>_xlfn.LET(_xlpm.ref_val,INDEX(annuaire[prenom],MATCH(#REF!,annuaire[id],0)),
_xlpm.db_val,members[[#This Row],[first_name]],
IF(_xlpm.ref_val=_xlpm.db_val,"","!!"))</f>
        <v>#REF!</v>
      </c>
      <c r="K1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" t="e">
        <f>_xlfn.LET(_xlpm.ref_val,INDEX(annuaire[pseudo_discord],MATCH(#REF!,annuaire[id],0)),
_xlpm.db_val,members[[#This Row],[discord]],
IF(_xlpm.ref_val=_xlpm.db_val,"","!!"))</f>
        <v>#REF!</v>
      </c>
    </row>
    <row r="11" spans="1:12" x14ac:dyDescent="0.25">
      <c r="A11">
        <v>10</v>
      </c>
      <c r="B11">
        <v>12</v>
      </c>
      <c r="D11" s="20">
        <v>46040.740520833337</v>
      </c>
      <c r="F11" t="s">
        <v>147</v>
      </c>
      <c r="G11" t="s">
        <v>146</v>
      </c>
      <c r="H11" s="1">
        <v>29932</v>
      </c>
      <c r="I11" t="e">
        <f>_xlfn.LET(_xlpm.ref_val,INDEX(annuaire[nom],MATCH(#REF!,annuaire[id],0)),
_xlpm.db_val,members[[#This Row],[last_name]],
IF(_xlpm.ref_val=_xlpm.db_val,"","!!"))</f>
        <v>#REF!</v>
      </c>
      <c r="J11" t="e">
        <f>_xlfn.LET(_xlpm.ref_val,INDEX(annuaire[prenom],MATCH(#REF!,annuaire[id],0)),
_xlpm.db_val,members[[#This Row],[first_name]],
IF(_xlpm.ref_val=_xlpm.db_val,"","!!"))</f>
        <v>#REF!</v>
      </c>
      <c r="K1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" t="e">
        <f>_xlfn.LET(_xlpm.ref_val,INDEX(annuaire[pseudo_discord],MATCH(#REF!,annuaire[id],0)),
_xlpm.db_val,members[[#This Row],[discord]],
IF(_xlpm.ref_val=_xlpm.db_val,"","!!"))</f>
        <v>#REF!</v>
      </c>
    </row>
    <row r="12" spans="1:12" x14ac:dyDescent="0.25">
      <c r="A12">
        <v>11</v>
      </c>
      <c r="B12">
        <v>13</v>
      </c>
      <c r="C12" t="s">
        <v>319</v>
      </c>
      <c r="D12" s="20">
        <v>46040.740520833337</v>
      </c>
      <c r="F12" t="s">
        <v>25</v>
      </c>
      <c r="G12" t="s">
        <v>172</v>
      </c>
      <c r="H12" s="1">
        <v>32073</v>
      </c>
      <c r="I12" t="e">
        <f>_xlfn.LET(_xlpm.ref_val,INDEX(annuaire[nom],MATCH(#REF!,annuaire[id],0)),
_xlpm.db_val,members[[#This Row],[last_name]],
IF(_xlpm.ref_val=_xlpm.db_val,"","!!"))</f>
        <v>#REF!</v>
      </c>
      <c r="J12" t="e">
        <f>_xlfn.LET(_xlpm.ref_val,INDEX(annuaire[prenom],MATCH(#REF!,annuaire[id],0)),
_xlpm.db_val,members[[#This Row],[first_name]],
IF(_xlpm.ref_val=_xlpm.db_val,"","!!"))</f>
        <v>#REF!</v>
      </c>
      <c r="K1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" t="e">
        <f>_xlfn.LET(_xlpm.ref_val,INDEX(annuaire[pseudo_discord],MATCH(#REF!,annuaire[id],0)),
_xlpm.db_val,members[[#This Row],[discord]],
IF(_xlpm.ref_val=_xlpm.db_val,"","!!"))</f>
        <v>#REF!</v>
      </c>
    </row>
    <row r="13" spans="1:12" x14ac:dyDescent="0.25">
      <c r="A13">
        <v>12</v>
      </c>
      <c r="B13">
        <v>15</v>
      </c>
      <c r="D13" s="20">
        <v>46040.740520833337</v>
      </c>
      <c r="F13" t="s">
        <v>68</v>
      </c>
      <c r="G13" t="s">
        <v>67</v>
      </c>
      <c r="H13" s="1">
        <v>32021</v>
      </c>
      <c r="I13" t="e">
        <f>_xlfn.LET(_xlpm.ref_val,INDEX(annuaire[nom],MATCH(#REF!,annuaire[id],0)),
_xlpm.db_val,members[[#This Row],[last_name]],
IF(_xlpm.ref_val=_xlpm.db_val,"","!!"))</f>
        <v>#REF!</v>
      </c>
      <c r="J13" t="e">
        <f>_xlfn.LET(_xlpm.ref_val,INDEX(annuaire[prenom],MATCH(#REF!,annuaire[id],0)),
_xlpm.db_val,members[[#This Row],[first_name]],
IF(_xlpm.ref_val=_xlpm.db_val,"","!!"))</f>
        <v>#REF!</v>
      </c>
      <c r="K1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" t="e">
        <f>_xlfn.LET(_xlpm.ref_val,INDEX(annuaire[pseudo_discord],MATCH(#REF!,annuaire[id],0)),
_xlpm.db_val,members[[#This Row],[discord]],
IF(_xlpm.ref_val=_xlpm.db_val,"","!!"))</f>
        <v>#REF!</v>
      </c>
    </row>
    <row r="14" spans="1:12" x14ac:dyDescent="0.25">
      <c r="A14">
        <v>13</v>
      </c>
      <c r="B14">
        <v>17</v>
      </c>
      <c r="D14" s="20">
        <v>46040.740520833337</v>
      </c>
      <c r="F14" t="s">
        <v>118</v>
      </c>
      <c r="G14" t="s">
        <v>117</v>
      </c>
      <c r="H14" s="1">
        <v>30457</v>
      </c>
      <c r="I14" t="e">
        <f>_xlfn.LET(_xlpm.ref_val,INDEX(annuaire[nom],MATCH(#REF!,annuaire[id],0)),
_xlpm.db_val,members[[#This Row],[last_name]],
IF(_xlpm.ref_val=_xlpm.db_val,"","!!"))</f>
        <v>#REF!</v>
      </c>
      <c r="J14" t="e">
        <f>_xlfn.LET(_xlpm.ref_val,INDEX(annuaire[prenom],MATCH(#REF!,annuaire[id],0)),
_xlpm.db_val,members[[#This Row],[first_name]],
IF(_xlpm.ref_val=_xlpm.db_val,"","!!"))</f>
        <v>#REF!</v>
      </c>
      <c r="K1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" t="e">
        <f>_xlfn.LET(_xlpm.ref_val,INDEX(annuaire[pseudo_discord],MATCH(#REF!,annuaire[id],0)),
_xlpm.db_val,members[[#This Row],[discord]],
IF(_xlpm.ref_val=_xlpm.db_val,"","!!"))</f>
        <v>#REF!</v>
      </c>
    </row>
    <row r="15" spans="1:12" x14ac:dyDescent="0.25">
      <c r="A15">
        <v>14</v>
      </c>
      <c r="B15">
        <v>18</v>
      </c>
      <c r="D15" s="20">
        <v>46040.740520833337</v>
      </c>
      <c r="F15" t="s">
        <v>125</v>
      </c>
      <c r="G15" t="s">
        <v>124</v>
      </c>
      <c r="H15" s="1">
        <v>25874</v>
      </c>
      <c r="I15" t="e">
        <f>_xlfn.LET(_xlpm.ref_val,INDEX(annuaire[nom],MATCH(#REF!,annuaire[id],0)),
_xlpm.db_val,members[[#This Row],[last_name]],
IF(_xlpm.ref_val=_xlpm.db_val,"","!!"))</f>
        <v>#REF!</v>
      </c>
      <c r="J15" t="e">
        <f>_xlfn.LET(_xlpm.ref_val,INDEX(annuaire[prenom],MATCH(#REF!,annuaire[id],0)),
_xlpm.db_val,members[[#This Row],[first_name]],
IF(_xlpm.ref_val=_xlpm.db_val,"","!!"))</f>
        <v>#REF!</v>
      </c>
      <c r="K1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" t="e">
        <f>_xlfn.LET(_xlpm.ref_val,INDEX(annuaire[pseudo_discord],MATCH(#REF!,annuaire[id],0)),
_xlpm.db_val,members[[#This Row],[discord]],
IF(_xlpm.ref_val=_xlpm.db_val,"","!!"))</f>
        <v>#REF!</v>
      </c>
    </row>
    <row r="16" spans="1:12" x14ac:dyDescent="0.25">
      <c r="A16">
        <v>15</v>
      </c>
      <c r="B16">
        <v>19</v>
      </c>
      <c r="D16" s="20">
        <v>46040.740520833337</v>
      </c>
      <c r="F16" t="s">
        <v>144</v>
      </c>
      <c r="G16" t="s">
        <v>143</v>
      </c>
      <c r="H16" s="1">
        <v>30477</v>
      </c>
      <c r="I16" t="e">
        <f>_xlfn.LET(_xlpm.ref_val,INDEX(annuaire[nom],MATCH(#REF!,annuaire[id],0)),
_xlpm.db_val,members[[#This Row],[last_name]],
IF(_xlpm.ref_val=_xlpm.db_val,"","!!"))</f>
        <v>#REF!</v>
      </c>
      <c r="J16" t="e">
        <f>_xlfn.LET(_xlpm.ref_val,INDEX(annuaire[prenom],MATCH(#REF!,annuaire[id],0)),
_xlpm.db_val,members[[#This Row],[first_name]],
IF(_xlpm.ref_val=_xlpm.db_val,"","!!"))</f>
        <v>#REF!</v>
      </c>
      <c r="K1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6" t="e">
        <f>_xlfn.LET(_xlpm.ref_val,INDEX(annuaire[pseudo_discord],MATCH(#REF!,annuaire[id],0)),
_xlpm.db_val,members[[#This Row],[discord]],
IF(_xlpm.ref_val=_xlpm.db_val,"","!!"))</f>
        <v>#REF!</v>
      </c>
    </row>
    <row r="17" spans="1:12" x14ac:dyDescent="0.25">
      <c r="A17">
        <v>16</v>
      </c>
      <c r="B17">
        <v>21</v>
      </c>
      <c r="D17" s="20">
        <v>46040.740520833337</v>
      </c>
      <c r="F17" t="s">
        <v>132</v>
      </c>
      <c r="G17" t="s">
        <v>175</v>
      </c>
      <c r="H17" s="1">
        <v>28865</v>
      </c>
      <c r="I17" t="e">
        <f>_xlfn.LET(_xlpm.ref_val,INDEX(annuaire[nom],MATCH(#REF!,annuaire[id],0)),
_xlpm.db_val,members[[#This Row],[last_name]],
IF(_xlpm.ref_val=_xlpm.db_val,"","!!"))</f>
        <v>#REF!</v>
      </c>
      <c r="J17" t="e">
        <f>_xlfn.LET(_xlpm.ref_val,INDEX(annuaire[prenom],MATCH(#REF!,annuaire[id],0)),
_xlpm.db_val,members[[#This Row],[first_name]],
IF(_xlpm.ref_val=_xlpm.db_val,"","!!"))</f>
        <v>#REF!</v>
      </c>
      <c r="K1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7" t="e">
        <f>_xlfn.LET(_xlpm.ref_val,INDEX(annuaire[pseudo_discord],MATCH(#REF!,annuaire[id],0)),
_xlpm.db_val,members[[#This Row],[discord]],
IF(_xlpm.ref_val=_xlpm.db_val,"","!!"))</f>
        <v>#REF!</v>
      </c>
    </row>
    <row r="18" spans="1:12" x14ac:dyDescent="0.25">
      <c r="A18">
        <v>17</v>
      </c>
      <c r="B18">
        <v>22</v>
      </c>
      <c r="C18" t="s">
        <v>456</v>
      </c>
      <c r="D18" s="20">
        <v>46040.740520833337</v>
      </c>
      <c r="F18" t="s">
        <v>19</v>
      </c>
      <c r="G18" t="s">
        <v>18</v>
      </c>
      <c r="H18" s="1">
        <v>36361</v>
      </c>
      <c r="I18" t="e">
        <f>_xlfn.LET(_xlpm.ref_val,INDEX(annuaire[nom],MATCH(#REF!,annuaire[id],0)),
_xlpm.db_val,members[[#This Row],[last_name]],
IF(_xlpm.ref_val=_xlpm.db_val,"","!!"))</f>
        <v>#REF!</v>
      </c>
      <c r="J18" t="e">
        <f>_xlfn.LET(_xlpm.ref_val,INDEX(annuaire[prenom],MATCH(#REF!,annuaire[id],0)),
_xlpm.db_val,members[[#This Row],[first_name]],
IF(_xlpm.ref_val=_xlpm.db_val,"","!!"))</f>
        <v>#REF!</v>
      </c>
      <c r="K1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8" t="e">
        <f>_xlfn.LET(_xlpm.ref_val,INDEX(annuaire[pseudo_discord],MATCH(#REF!,annuaire[id],0)),
_xlpm.db_val,members[[#This Row],[discord]],
IF(_xlpm.ref_val=_xlpm.db_val,"","!!"))</f>
        <v>#REF!</v>
      </c>
    </row>
    <row r="19" spans="1:12" x14ac:dyDescent="0.25">
      <c r="A19">
        <v>18</v>
      </c>
      <c r="B19">
        <v>20</v>
      </c>
      <c r="D19" s="20">
        <v>46040.740520833337</v>
      </c>
      <c r="F19" t="s">
        <v>145</v>
      </c>
      <c r="G19" t="s">
        <v>143</v>
      </c>
      <c r="H19" s="1">
        <v>29845</v>
      </c>
      <c r="I19" t="e">
        <f>_xlfn.LET(_xlpm.ref_val,INDEX(annuaire[nom],MATCH(#REF!,annuaire[id],0)),
_xlpm.db_val,members[[#This Row],[last_name]],
IF(_xlpm.ref_val=_xlpm.db_val,"","!!"))</f>
        <v>#REF!</v>
      </c>
      <c r="J19" t="e">
        <f>_xlfn.LET(_xlpm.ref_val,INDEX(annuaire[prenom],MATCH(#REF!,annuaire[id],0)),
_xlpm.db_val,members[[#This Row],[first_name]],
IF(_xlpm.ref_val=_xlpm.db_val,"","!!"))</f>
        <v>#REF!</v>
      </c>
      <c r="K1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9" t="e">
        <f>_xlfn.LET(_xlpm.ref_val,INDEX(annuaire[pseudo_discord],MATCH(#REF!,annuaire[id],0)),
_xlpm.db_val,members[[#This Row],[discord]],
IF(_xlpm.ref_val=_xlpm.db_val,"","!!"))</f>
        <v>#REF!</v>
      </c>
    </row>
    <row r="20" spans="1:12" x14ac:dyDescent="0.25">
      <c r="A20">
        <v>19</v>
      </c>
      <c r="B20">
        <v>23</v>
      </c>
      <c r="C20" t="s">
        <v>337</v>
      </c>
      <c r="D20" s="20">
        <v>46040.740520833337</v>
      </c>
      <c r="F20" t="s">
        <v>163</v>
      </c>
      <c r="G20" t="s">
        <v>162</v>
      </c>
      <c r="H20" s="1">
        <v>34071</v>
      </c>
      <c r="I20" t="e">
        <f>_xlfn.LET(_xlpm.ref_val,INDEX(annuaire[nom],MATCH(#REF!,annuaire[id],0)),
_xlpm.db_val,members[[#This Row],[last_name]],
IF(_xlpm.ref_val=_xlpm.db_val,"","!!"))</f>
        <v>#REF!</v>
      </c>
      <c r="J20" t="e">
        <f>_xlfn.LET(_xlpm.ref_val,INDEX(annuaire[prenom],MATCH(#REF!,annuaire[id],0)),
_xlpm.db_val,members[[#This Row],[first_name]],
IF(_xlpm.ref_val=_xlpm.db_val,"","!!"))</f>
        <v>#REF!</v>
      </c>
      <c r="K2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0" t="e">
        <f>_xlfn.LET(_xlpm.ref_val,INDEX(annuaire[pseudo_discord],MATCH(#REF!,annuaire[id],0)),
_xlpm.db_val,members[[#This Row],[discord]],
IF(_xlpm.ref_val=_xlpm.db_val,"","!!"))</f>
        <v>#REF!</v>
      </c>
    </row>
    <row r="21" spans="1:12" x14ac:dyDescent="0.25">
      <c r="A21">
        <v>20</v>
      </c>
      <c r="B21">
        <v>5</v>
      </c>
      <c r="D21" s="20">
        <v>46040.740520833337</v>
      </c>
      <c r="F21" t="s">
        <v>97</v>
      </c>
      <c r="G21" t="s">
        <v>95</v>
      </c>
      <c r="H21" s="1">
        <v>32412</v>
      </c>
      <c r="I21" t="e">
        <f>_xlfn.LET(_xlpm.ref_val,INDEX(annuaire[nom],MATCH(#REF!,annuaire[id],0)),
_xlpm.db_val,members[[#This Row],[last_name]],
IF(_xlpm.ref_val=_xlpm.db_val,"","!!"))</f>
        <v>#REF!</v>
      </c>
      <c r="J21" t="e">
        <f>_xlfn.LET(_xlpm.ref_val,INDEX(annuaire[prenom],MATCH(#REF!,annuaire[id],0)),
_xlpm.db_val,members[[#This Row],[first_name]],
IF(_xlpm.ref_val=_xlpm.db_val,"","!!"))</f>
        <v>#REF!</v>
      </c>
      <c r="K2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1" t="e">
        <f>_xlfn.LET(_xlpm.ref_val,INDEX(annuaire[pseudo_discord],MATCH(#REF!,annuaire[id],0)),
_xlpm.db_val,members[[#This Row],[discord]],
IF(_xlpm.ref_val=_xlpm.db_val,"","!!"))</f>
        <v>#REF!</v>
      </c>
    </row>
    <row r="22" spans="1:12" x14ac:dyDescent="0.25">
      <c r="A22">
        <v>21</v>
      </c>
      <c r="B22">
        <v>24</v>
      </c>
      <c r="D22" s="20">
        <v>46040.740520833337</v>
      </c>
      <c r="F22" t="s">
        <v>189</v>
      </c>
      <c r="G22" t="s">
        <v>188</v>
      </c>
      <c r="H22" s="1">
        <v>33819</v>
      </c>
      <c r="I22" t="e">
        <f>_xlfn.LET(_xlpm.ref_val,INDEX(annuaire[nom],MATCH(#REF!,annuaire[id],0)),
_xlpm.db_val,members[[#This Row],[last_name]],
IF(_xlpm.ref_val=_xlpm.db_val,"","!!"))</f>
        <v>#REF!</v>
      </c>
      <c r="J22" t="e">
        <f>_xlfn.LET(_xlpm.ref_val,INDEX(annuaire[prenom],MATCH(#REF!,annuaire[id],0)),
_xlpm.db_val,members[[#This Row],[first_name]],
IF(_xlpm.ref_val=_xlpm.db_val,"","!!"))</f>
        <v>#REF!</v>
      </c>
      <c r="K2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2" t="e">
        <f>_xlfn.LET(_xlpm.ref_val,INDEX(annuaire[pseudo_discord],MATCH(#REF!,annuaire[id],0)),
_xlpm.db_val,members[[#This Row],[discord]],
IF(_xlpm.ref_val=_xlpm.db_val,"","!!"))</f>
        <v>#REF!</v>
      </c>
    </row>
    <row r="23" spans="1:12" x14ac:dyDescent="0.25">
      <c r="A23">
        <v>22</v>
      </c>
      <c r="B23">
        <v>26</v>
      </c>
      <c r="D23" s="20">
        <v>46040.740520833337</v>
      </c>
      <c r="F23" t="s">
        <v>81</v>
      </c>
      <c r="G23" t="s">
        <v>109</v>
      </c>
      <c r="H23" s="1">
        <v>27010</v>
      </c>
      <c r="I23" t="e">
        <f>_xlfn.LET(_xlpm.ref_val,INDEX(annuaire[nom],MATCH(#REF!,annuaire[id],0)),
_xlpm.db_val,members[[#This Row],[last_name]],
IF(_xlpm.ref_val=_xlpm.db_val,"","!!"))</f>
        <v>#REF!</v>
      </c>
      <c r="J23" t="e">
        <f>_xlfn.LET(_xlpm.ref_val,INDEX(annuaire[prenom],MATCH(#REF!,annuaire[id],0)),
_xlpm.db_val,members[[#This Row],[first_name]],
IF(_xlpm.ref_val=_xlpm.db_val,"","!!"))</f>
        <v>#REF!</v>
      </c>
      <c r="K2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3" t="e">
        <f>_xlfn.LET(_xlpm.ref_val,INDEX(annuaire[pseudo_discord],MATCH(#REF!,annuaire[id],0)),
_xlpm.db_val,members[[#This Row],[discord]],
IF(_xlpm.ref_val=_xlpm.db_val,"","!!"))</f>
        <v>#REF!</v>
      </c>
    </row>
    <row r="24" spans="1:12" x14ac:dyDescent="0.25">
      <c r="A24">
        <v>23</v>
      </c>
      <c r="B24">
        <v>27</v>
      </c>
      <c r="D24" s="20">
        <v>46040.740520833337</v>
      </c>
      <c r="F24" t="s">
        <v>84</v>
      </c>
      <c r="G24" t="s">
        <v>83</v>
      </c>
      <c r="H24" s="1">
        <v>32442</v>
      </c>
      <c r="I24" t="e">
        <f>_xlfn.LET(_xlpm.ref_val,INDEX(annuaire[nom],MATCH(#REF!,annuaire[id],0)),
_xlpm.db_val,members[[#This Row],[last_name]],
IF(_xlpm.ref_val=_xlpm.db_val,"","!!"))</f>
        <v>#REF!</v>
      </c>
      <c r="J24" t="e">
        <f>_xlfn.LET(_xlpm.ref_val,INDEX(annuaire[prenom],MATCH(#REF!,annuaire[id],0)),
_xlpm.db_val,members[[#This Row],[first_name]],
IF(_xlpm.ref_val=_xlpm.db_val,"","!!"))</f>
        <v>#REF!</v>
      </c>
      <c r="K2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4" t="e">
        <f>_xlfn.LET(_xlpm.ref_val,INDEX(annuaire[pseudo_discord],MATCH(#REF!,annuaire[id],0)),
_xlpm.db_val,members[[#This Row],[discord]],
IF(_xlpm.ref_val=_xlpm.db_val,"","!!"))</f>
        <v>#REF!</v>
      </c>
    </row>
    <row r="25" spans="1:12" x14ac:dyDescent="0.25">
      <c r="A25">
        <v>24</v>
      </c>
      <c r="B25">
        <v>28</v>
      </c>
      <c r="D25" s="20">
        <v>46040.740520833337</v>
      </c>
      <c r="F25" t="s">
        <v>43</v>
      </c>
      <c r="G25" t="s">
        <v>87</v>
      </c>
      <c r="H25" s="1">
        <v>30013</v>
      </c>
      <c r="I25" t="e">
        <f>_xlfn.LET(_xlpm.ref_val,INDEX(annuaire[nom],MATCH(#REF!,annuaire[id],0)),
_xlpm.db_val,members[[#This Row],[last_name]],
IF(_xlpm.ref_val=_xlpm.db_val,"","!!"))</f>
        <v>#REF!</v>
      </c>
      <c r="J25" t="e">
        <f>_xlfn.LET(_xlpm.ref_val,INDEX(annuaire[prenom],MATCH(#REF!,annuaire[id],0)),
_xlpm.db_val,members[[#This Row],[first_name]],
IF(_xlpm.ref_val=_xlpm.db_val,"","!!"))</f>
        <v>#REF!</v>
      </c>
      <c r="K2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5" t="e">
        <f>_xlfn.LET(_xlpm.ref_val,INDEX(annuaire[pseudo_discord],MATCH(#REF!,annuaire[id],0)),
_xlpm.db_val,members[[#This Row],[discord]],
IF(_xlpm.ref_val=_xlpm.db_val,"","!!"))</f>
        <v>#REF!</v>
      </c>
    </row>
    <row r="26" spans="1:12" x14ac:dyDescent="0.25">
      <c r="A26">
        <v>25</v>
      </c>
      <c r="B26">
        <v>14</v>
      </c>
      <c r="D26" s="20">
        <v>46040.740520833337</v>
      </c>
      <c r="F26" t="s">
        <v>42</v>
      </c>
      <c r="G26" t="s">
        <v>108</v>
      </c>
      <c r="H26" s="1">
        <v>32850</v>
      </c>
      <c r="I26" t="e">
        <f>_xlfn.LET(_xlpm.ref_val,INDEX(annuaire[nom],MATCH(#REF!,annuaire[id],0)),
_xlpm.db_val,members[[#This Row],[last_name]],
IF(_xlpm.ref_val=_xlpm.db_val,"","!!"))</f>
        <v>#REF!</v>
      </c>
      <c r="J26" t="e">
        <f>_xlfn.LET(_xlpm.ref_val,INDEX(annuaire[prenom],MATCH(#REF!,annuaire[id],0)),
_xlpm.db_val,members[[#This Row],[first_name]],
IF(_xlpm.ref_val=_xlpm.db_val,"","!!"))</f>
        <v>#REF!</v>
      </c>
      <c r="K2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6" t="e">
        <f>_xlfn.LET(_xlpm.ref_val,INDEX(annuaire[pseudo_discord],MATCH(#REF!,annuaire[id],0)),
_xlpm.db_val,members[[#This Row],[discord]],
IF(_xlpm.ref_val=_xlpm.db_val,"","!!"))</f>
        <v>#REF!</v>
      </c>
    </row>
    <row r="27" spans="1:12" x14ac:dyDescent="0.25">
      <c r="A27">
        <v>26</v>
      </c>
      <c r="B27">
        <v>29</v>
      </c>
      <c r="D27" s="20">
        <v>46040.740520833337</v>
      </c>
      <c r="F27" t="s">
        <v>105</v>
      </c>
      <c r="G27" t="s">
        <v>104</v>
      </c>
      <c r="H27" s="1"/>
      <c r="I27" t="e">
        <f>_xlfn.LET(_xlpm.ref_val,INDEX(annuaire[nom],MATCH(#REF!,annuaire[id],0)),
_xlpm.db_val,members[[#This Row],[last_name]],
IF(_xlpm.ref_val=_xlpm.db_val,"","!!"))</f>
        <v>#REF!</v>
      </c>
      <c r="J27" t="e">
        <f>_xlfn.LET(_xlpm.ref_val,INDEX(annuaire[prenom],MATCH(#REF!,annuaire[id],0)),
_xlpm.db_val,members[[#This Row],[first_name]],
IF(_xlpm.ref_val=_xlpm.db_val,"","!!"))</f>
        <v>#REF!</v>
      </c>
      <c r="K2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7" t="e">
        <f>_xlfn.LET(_xlpm.ref_val,INDEX(annuaire[pseudo_discord],MATCH(#REF!,annuaire[id],0)),
_xlpm.db_val,members[[#This Row],[discord]],
IF(_xlpm.ref_val=_xlpm.db_val,"","!!"))</f>
        <v>#REF!</v>
      </c>
    </row>
    <row r="28" spans="1:12" x14ac:dyDescent="0.25">
      <c r="A28">
        <v>27</v>
      </c>
      <c r="B28">
        <v>30</v>
      </c>
      <c r="D28" s="20">
        <v>46040.740520833337</v>
      </c>
      <c r="F28" t="s">
        <v>156</v>
      </c>
      <c r="G28" t="s">
        <v>155</v>
      </c>
      <c r="H28" s="1"/>
      <c r="I28" t="e">
        <f>_xlfn.LET(_xlpm.ref_val,INDEX(annuaire[nom],MATCH(#REF!,annuaire[id],0)),
_xlpm.db_val,members[[#This Row],[last_name]],
IF(_xlpm.ref_val=_xlpm.db_val,"","!!"))</f>
        <v>#REF!</v>
      </c>
      <c r="J28" t="e">
        <f>_xlfn.LET(_xlpm.ref_val,INDEX(annuaire[prenom],MATCH(#REF!,annuaire[id],0)),
_xlpm.db_val,members[[#This Row],[first_name]],
IF(_xlpm.ref_val=_xlpm.db_val,"","!!"))</f>
        <v>#REF!</v>
      </c>
      <c r="K2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8" t="e">
        <f>_xlfn.LET(_xlpm.ref_val,INDEX(annuaire[pseudo_discord],MATCH(#REF!,annuaire[id],0)),
_xlpm.db_val,members[[#This Row],[discord]],
IF(_xlpm.ref_val=_xlpm.db_val,"","!!"))</f>
        <v>#REF!</v>
      </c>
    </row>
    <row r="29" spans="1:12" x14ac:dyDescent="0.25">
      <c r="A29">
        <v>28</v>
      </c>
      <c r="B29">
        <v>31</v>
      </c>
      <c r="D29" s="20">
        <v>46040.740520833337</v>
      </c>
      <c r="F29" t="s">
        <v>36</v>
      </c>
      <c r="G29" t="s">
        <v>159</v>
      </c>
      <c r="H29" s="1">
        <v>30386</v>
      </c>
      <c r="I29" t="e">
        <f>_xlfn.LET(_xlpm.ref_val,INDEX(annuaire[nom],MATCH(#REF!,annuaire[id],0)),
_xlpm.db_val,members[[#This Row],[last_name]],
IF(_xlpm.ref_val=_xlpm.db_val,"","!!"))</f>
        <v>#REF!</v>
      </c>
      <c r="J29" t="e">
        <f>_xlfn.LET(_xlpm.ref_val,INDEX(annuaire[prenom],MATCH(#REF!,annuaire[id],0)),
_xlpm.db_val,members[[#This Row],[first_name]],
IF(_xlpm.ref_val=_xlpm.db_val,"","!!"))</f>
        <v>#REF!</v>
      </c>
      <c r="K2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29" t="e">
        <f>_xlfn.LET(_xlpm.ref_val,INDEX(annuaire[pseudo_discord],MATCH(#REF!,annuaire[id],0)),
_xlpm.db_val,members[[#This Row],[discord]],
IF(_xlpm.ref_val=_xlpm.db_val,"","!!"))</f>
        <v>#REF!</v>
      </c>
    </row>
    <row r="30" spans="1:12" x14ac:dyDescent="0.25">
      <c r="A30">
        <v>29</v>
      </c>
      <c r="B30">
        <v>32</v>
      </c>
      <c r="D30" s="20">
        <v>46040.740520833337</v>
      </c>
      <c r="F30" t="s">
        <v>34</v>
      </c>
      <c r="G30" t="s">
        <v>72</v>
      </c>
      <c r="H30" s="1">
        <v>26161</v>
      </c>
      <c r="I30" t="e">
        <f>_xlfn.LET(_xlpm.ref_val,INDEX(annuaire[nom],MATCH(#REF!,annuaire[id],0)),
_xlpm.db_val,members[[#This Row],[last_name]],
IF(_xlpm.ref_val=_xlpm.db_val,"","!!"))</f>
        <v>#REF!</v>
      </c>
      <c r="J30" t="e">
        <f>_xlfn.LET(_xlpm.ref_val,INDEX(annuaire[prenom],MATCH(#REF!,annuaire[id],0)),
_xlpm.db_val,members[[#This Row],[first_name]],
IF(_xlpm.ref_val=_xlpm.db_val,"","!!"))</f>
        <v>#REF!</v>
      </c>
      <c r="K3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0" t="e">
        <f>_xlfn.LET(_xlpm.ref_val,INDEX(annuaire[pseudo_discord],MATCH(#REF!,annuaire[id],0)),
_xlpm.db_val,members[[#This Row],[discord]],
IF(_xlpm.ref_val=_xlpm.db_val,"","!!"))</f>
        <v>#REF!</v>
      </c>
    </row>
    <row r="31" spans="1:12" x14ac:dyDescent="0.25">
      <c r="A31">
        <v>30</v>
      </c>
      <c r="B31">
        <v>33</v>
      </c>
      <c r="D31" s="20">
        <v>46040.740520833337</v>
      </c>
      <c r="F31" t="s">
        <v>145</v>
      </c>
      <c r="G31" t="s">
        <v>195</v>
      </c>
      <c r="H31" s="1"/>
      <c r="I31" t="e">
        <f>_xlfn.LET(_xlpm.ref_val,INDEX(annuaire[nom],MATCH(#REF!,annuaire[id],0)),
_xlpm.db_val,members[[#This Row],[last_name]],
IF(_xlpm.ref_val=_xlpm.db_val,"","!!"))</f>
        <v>#REF!</v>
      </c>
      <c r="J31" t="e">
        <f>_xlfn.LET(_xlpm.ref_val,INDEX(annuaire[prenom],MATCH(#REF!,annuaire[id],0)),
_xlpm.db_val,members[[#This Row],[first_name]],
IF(_xlpm.ref_val=_xlpm.db_val,"","!!"))</f>
        <v>#REF!</v>
      </c>
      <c r="K3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1" t="e">
        <f>_xlfn.LET(_xlpm.ref_val,INDEX(annuaire[pseudo_discord],MATCH(#REF!,annuaire[id],0)),
_xlpm.db_val,members[[#This Row],[discord]],
IF(_xlpm.ref_val=_xlpm.db_val,"","!!"))</f>
        <v>#REF!</v>
      </c>
    </row>
    <row r="32" spans="1:12" x14ac:dyDescent="0.25">
      <c r="A32">
        <v>31</v>
      </c>
      <c r="B32">
        <v>34</v>
      </c>
      <c r="D32" s="20">
        <v>46040.740520833337</v>
      </c>
      <c r="F32" t="s">
        <v>197</v>
      </c>
      <c r="G32" t="s">
        <v>196</v>
      </c>
      <c r="H32" s="1">
        <v>43741</v>
      </c>
      <c r="I32" t="e">
        <f>_xlfn.LET(_xlpm.ref_val,INDEX(annuaire[nom],MATCH(#REF!,annuaire[id],0)),
_xlpm.db_val,members[[#This Row],[last_name]],
IF(_xlpm.ref_val=_xlpm.db_val,"","!!"))</f>
        <v>#REF!</v>
      </c>
      <c r="J32" t="e">
        <f>_xlfn.LET(_xlpm.ref_val,INDEX(annuaire[prenom],MATCH(#REF!,annuaire[id],0)),
_xlpm.db_val,members[[#This Row],[first_name]],
IF(_xlpm.ref_val=_xlpm.db_val,"","!!"))</f>
        <v>#REF!</v>
      </c>
      <c r="K3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2" t="e">
        <f>_xlfn.LET(_xlpm.ref_val,INDEX(annuaire[pseudo_discord],MATCH(#REF!,annuaire[id],0)),
_xlpm.db_val,members[[#This Row],[discord]],
IF(_xlpm.ref_val=_xlpm.db_val,"","!!"))</f>
        <v>#REF!</v>
      </c>
    </row>
    <row r="33" spans="1:12" x14ac:dyDescent="0.25">
      <c r="A33">
        <v>32</v>
      </c>
      <c r="B33">
        <v>35</v>
      </c>
      <c r="C33" t="s">
        <v>327</v>
      </c>
      <c r="D33" s="20">
        <v>46040.740520833337</v>
      </c>
      <c r="F33" t="s">
        <v>46</v>
      </c>
      <c r="G33" t="s">
        <v>82</v>
      </c>
      <c r="H33" s="1">
        <v>24700</v>
      </c>
      <c r="I33" t="e">
        <f>_xlfn.LET(_xlpm.ref_val,INDEX(annuaire[nom],MATCH(#REF!,annuaire[id],0)),
_xlpm.db_val,members[[#This Row],[last_name]],
IF(_xlpm.ref_val=_xlpm.db_val,"","!!"))</f>
        <v>#REF!</v>
      </c>
      <c r="J33" t="e">
        <f>_xlfn.LET(_xlpm.ref_val,INDEX(annuaire[prenom],MATCH(#REF!,annuaire[id],0)),
_xlpm.db_val,members[[#This Row],[first_name]],
IF(_xlpm.ref_val=_xlpm.db_val,"","!!"))</f>
        <v>#REF!</v>
      </c>
      <c r="K3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3" t="e">
        <f>_xlfn.LET(_xlpm.ref_val,INDEX(annuaire[pseudo_discord],MATCH(#REF!,annuaire[id],0)),
_xlpm.db_val,members[[#This Row],[discord]],
IF(_xlpm.ref_val=_xlpm.db_val,"","!!"))</f>
        <v>#REF!</v>
      </c>
    </row>
    <row r="34" spans="1:12" x14ac:dyDescent="0.25">
      <c r="A34">
        <v>33</v>
      </c>
      <c r="B34">
        <v>36</v>
      </c>
      <c r="D34" s="20">
        <v>46040.740520833337</v>
      </c>
      <c r="F34" t="s">
        <v>182</v>
      </c>
      <c r="G34" t="s">
        <v>181</v>
      </c>
      <c r="H34" s="1">
        <v>26495</v>
      </c>
      <c r="I34" t="e">
        <f>_xlfn.LET(_xlpm.ref_val,INDEX(annuaire[nom],MATCH(#REF!,annuaire[id],0)),
_xlpm.db_val,members[[#This Row],[last_name]],
IF(_xlpm.ref_val=_xlpm.db_val,"","!!"))</f>
        <v>#REF!</v>
      </c>
      <c r="J34" t="e">
        <f>_xlfn.LET(_xlpm.ref_val,INDEX(annuaire[prenom],MATCH(#REF!,annuaire[id],0)),
_xlpm.db_val,members[[#This Row],[first_name]],
IF(_xlpm.ref_val=_xlpm.db_val,"","!!"))</f>
        <v>#REF!</v>
      </c>
      <c r="K3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4" t="e">
        <f>_xlfn.LET(_xlpm.ref_val,INDEX(annuaire[pseudo_discord],MATCH(#REF!,annuaire[id],0)),
_xlpm.db_val,members[[#This Row],[discord]],
IF(_xlpm.ref_val=_xlpm.db_val,"","!!"))</f>
        <v>#REF!</v>
      </c>
    </row>
    <row r="35" spans="1:12" x14ac:dyDescent="0.25">
      <c r="A35">
        <v>34</v>
      </c>
      <c r="B35">
        <v>37</v>
      </c>
      <c r="C35" t="s">
        <v>346</v>
      </c>
      <c r="D35" s="20">
        <v>46040.740520833337</v>
      </c>
      <c r="F35" t="s">
        <v>15</v>
      </c>
      <c r="G35" t="s">
        <v>115</v>
      </c>
      <c r="H35" s="1">
        <v>27069</v>
      </c>
      <c r="I35" t="e">
        <f>_xlfn.LET(_xlpm.ref_val,INDEX(annuaire[nom],MATCH(#REF!,annuaire[id],0)),
_xlpm.db_val,members[[#This Row],[last_name]],
IF(_xlpm.ref_val=_xlpm.db_val,"","!!"))</f>
        <v>#REF!</v>
      </c>
      <c r="J35" t="e">
        <f>_xlfn.LET(_xlpm.ref_val,INDEX(annuaire[prenom],MATCH(#REF!,annuaire[id],0)),
_xlpm.db_val,members[[#This Row],[first_name]],
IF(_xlpm.ref_val=_xlpm.db_val,"","!!"))</f>
        <v>#REF!</v>
      </c>
      <c r="K3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5" t="e">
        <f>_xlfn.LET(_xlpm.ref_val,INDEX(annuaire[pseudo_discord],MATCH(#REF!,annuaire[id],0)),
_xlpm.db_val,members[[#This Row],[discord]],
IF(_xlpm.ref_val=_xlpm.db_val,"","!!"))</f>
        <v>#REF!</v>
      </c>
    </row>
    <row r="36" spans="1:12" x14ac:dyDescent="0.25">
      <c r="A36">
        <v>35</v>
      </c>
      <c r="B36">
        <v>38</v>
      </c>
      <c r="D36" s="20">
        <v>46040.740520833337</v>
      </c>
      <c r="F36" t="s">
        <v>55</v>
      </c>
      <c r="G36" t="s">
        <v>54</v>
      </c>
      <c r="H36" s="1">
        <v>33652</v>
      </c>
      <c r="I36" t="e">
        <f>_xlfn.LET(_xlpm.ref_val,INDEX(annuaire[nom],MATCH(#REF!,annuaire[id],0)),
_xlpm.db_val,members[[#This Row],[last_name]],
IF(_xlpm.ref_val=_xlpm.db_val,"","!!"))</f>
        <v>#REF!</v>
      </c>
      <c r="J36" t="e">
        <f>_xlfn.LET(_xlpm.ref_val,INDEX(annuaire[prenom],MATCH(#REF!,annuaire[id],0)),
_xlpm.db_val,members[[#This Row],[first_name]],
IF(_xlpm.ref_val=_xlpm.db_val,"","!!"))</f>
        <v>#REF!</v>
      </c>
      <c r="K3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6" t="e">
        <f>_xlfn.LET(_xlpm.ref_val,INDEX(annuaire[pseudo_discord],MATCH(#REF!,annuaire[id],0)),
_xlpm.db_val,members[[#This Row],[discord]],
IF(_xlpm.ref_val=_xlpm.db_val,"","!!"))</f>
        <v>#REF!</v>
      </c>
    </row>
    <row r="37" spans="1:12" x14ac:dyDescent="0.25">
      <c r="A37">
        <v>36</v>
      </c>
      <c r="B37">
        <v>39</v>
      </c>
      <c r="C37" t="s">
        <v>321</v>
      </c>
      <c r="D37" s="20">
        <v>46040.740520833337</v>
      </c>
      <c r="F37" t="s">
        <v>33</v>
      </c>
      <c r="G37" t="s">
        <v>41</v>
      </c>
      <c r="H37" s="1">
        <v>28455</v>
      </c>
      <c r="I37" t="e">
        <f>_xlfn.LET(_xlpm.ref_val,INDEX(annuaire[nom],MATCH(#REF!,annuaire[id],0)),
_xlpm.db_val,members[[#This Row],[last_name]],
IF(_xlpm.ref_val=_xlpm.db_val,"","!!"))</f>
        <v>#REF!</v>
      </c>
      <c r="J37" t="e">
        <f>_xlfn.LET(_xlpm.ref_val,INDEX(annuaire[prenom],MATCH(#REF!,annuaire[id],0)),
_xlpm.db_val,members[[#This Row],[first_name]],
IF(_xlpm.ref_val=_xlpm.db_val,"","!!"))</f>
        <v>#REF!</v>
      </c>
      <c r="K3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7" t="e">
        <f>_xlfn.LET(_xlpm.ref_val,INDEX(annuaire[pseudo_discord],MATCH(#REF!,annuaire[id],0)),
_xlpm.db_val,members[[#This Row],[discord]],
IF(_xlpm.ref_val=_xlpm.db_val,"","!!"))</f>
        <v>#REF!</v>
      </c>
    </row>
    <row r="38" spans="1:12" x14ac:dyDescent="0.25">
      <c r="A38">
        <v>37</v>
      </c>
      <c r="B38">
        <v>40</v>
      </c>
      <c r="D38" s="20">
        <v>46040.740520833337</v>
      </c>
      <c r="F38" t="s">
        <v>161</v>
      </c>
      <c r="G38" t="s">
        <v>160</v>
      </c>
      <c r="H38" s="1"/>
      <c r="I38" t="e">
        <f>_xlfn.LET(_xlpm.ref_val,INDEX(annuaire[nom],MATCH(#REF!,annuaire[id],0)),
_xlpm.db_val,members[[#This Row],[last_name]],
IF(_xlpm.ref_val=_xlpm.db_val,"","!!"))</f>
        <v>#REF!</v>
      </c>
      <c r="J38" t="e">
        <f>_xlfn.LET(_xlpm.ref_val,INDEX(annuaire[prenom],MATCH(#REF!,annuaire[id],0)),
_xlpm.db_val,members[[#This Row],[first_name]],
IF(_xlpm.ref_val=_xlpm.db_val,"","!!"))</f>
        <v>#REF!</v>
      </c>
      <c r="K3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8" t="e">
        <f>_xlfn.LET(_xlpm.ref_val,INDEX(annuaire[pseudo_discord],MATCH(#REF!,annuaire[id],0)),
_xlpm.db_val,members[[#This Row],[discord]],
IF(_xlpm.ref_val=_xlpm.db_val,"","!!"))</f>
        <v>#REF!</v>
      </c>
    </row>
    <row r="39" spans="1:12" x14ac:dyDescent="0.25">
      <c r="A39">
        <v>38</v>
      </c>
      <c r="B39">
        <v>41</v>
      </c>
      <c r="C39" t="s">
        <v>360</v>
      </c>
      <c r="D39" s="20">
        <v>46040.740520833337</v>
      </c>
      <c r="F39" t="s">
        <v>48</v>
      </c>
      <c r="G39" t="s">
        <v>64</v>
      </c>
      <c r="H39" s="1"/>
      <c r="I39" t="e">
        <f>_xlfn.LET(_xlpm.ref_val,INDEX(annuaire[nom],MATCH(#REF!,annuaire[id],0)),
_xlpm.db_val,members[[#This Row],[last_name]],
IF(_xlpm.ref_val=_xlpm.db_val,"","!!"))</f>
        <v>#REF!</v>
      </c>
      <c r="J39" t="e">
        <f>_xlfn.LET(_xlpm.ref_val,INDEX(annuaire[prenom],MATCH(#REF!,annuaire[id],0)),
_xlpm.db_val,members[[#This Row],[first_name]],
IF(_xlpm.ref_val=_xlpm.db_val,"","!!"))</f>
        <v>#REF!</v>
      </c>
      <c r="K3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39" t="e">
        <f>_xlfn.LET(_xlpm.ref_val,INDEX(annuaire[pseudo_discord],MATCH(#REF!,annuaire[id],0)),
_xlpm.db_val,members[[#This Row],[discord]],
IF(_xlpm.ref_val=_xlpm.db_val,"","!!"))</f>
        <v>#REF!</v>
      </c>
    </row>
    <row r="40" spans="1:12" x14ac:dyDescent="0.25">
      <c r="A40">
        <v>39</v>
      </c>
      <c r="B40">
        <v>42</v>
      </c>
      <c r="D40" s="20">
        <v>46040.740520833337</v>
      </c>
      <c r="F40" t="s">
        <v>138</v>
      </c>
      <c r="G40" t="s">
        <v>137</v>
      </c>
      <c r="H40" s="1"/>
      <c r="I40" t="e">
        <f>_xlfn.LET(_xlpm.ref_val,INDEX(annuaire[nom],MATCH(#REF!,annuaire[id],0)),
_xlpm.db_val,members[[#This Row],[last_name]],
IF(_xlpm.ref_val=_xlpm.db_val,"","!!"))</f>
        <v>#REF!</v>
      </c>
      <c r="J40" t="e">
        <f>_xlfn.LET(_xlpm.ref_val,INDEX(annuaire[prenom],MATCH(#REF!,annuaire[id],0)),
_xlpm.db_val,members[[#This Row],[first_name]],
IF(_xlpm.ref_val=_xlpm.db_val,"","!!"))</f>
        <v>#REF!</v>
      </c>
      <c r="K4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0" t="e">
        <f>_xlfn.LET(_xlpm.ref_val,INDEX(annuaire[pseudo_discord],MATCH(#REF!,annuaire[id],0)),
_xlpm.db_val,members[[#This Row],[discord]],
IF(_xlpm.ref_val=_xlpm.db_val,"","!!"))</f>
        <v>#REF!</v>
      </c>
    </row>
    <row r="41" spans="1:12" x14ac:dyDescent="0.25">
      <c r="A41">
        <v>40</v>
      </c>
      <c r="B41">
        <v>43</v>
      </c>
      <c r="D41" s="20">
        <v>46040.740520833337</v>
      </c>
      <c r="F41" t="s">
        <v>177</v>
      </c>
      <c r="G41" t="s">
        <v>176</v>
      </c>
      <c r="H41" s="1"/>
      <c r="I41" t="e">
        <f>_xlfn.LET(_xlpm.ref_val,INDEX(annuaire[nom],MATCH(#REF!,annuaire[id],0)),
_xlpm.db_val,members[[#This Row],[last_name]],
IF(_xlpm.ref_val=_xlpm.db_val,"","!!"))</f>
        <v>#REF!</v>
      </c>
      <c r="J41" t="e">
        <f>_xlfn.LET(_xlpm.ref_val,INDEX(annuaire[prenom],MATCH(#REF!,annuaire[id],0)),
_xlpm.db_val,members[[#This Row],[first_name]],
IF(_xlpm.ref_val=_xlpm.db_val,"","!!"))</f>
        <v>#REF!</v>
      </c>
      <c r="K4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1" t="e">
        <f>_xlfn.LET(_xlpm.ref_val,INDEX(annuaire[pseudo_discord],MATCH(#REF!,annuaire[id],0)),
_xlpm.db_val,members[[#This Row],[discord]],
IF(_xlpm.ref_val=_xlpm.db_val,"","!!"))</f>
        <v>#REF!</v>
      </c>
    </row>
    <row r="42" spans="1:12" x14ac:dyDescent="0.25">
      <c r="A42">
        <v>41</v>
      </c>
      <c r="B42">
        <v>44</v>
      </c>
      <c r="D42" s="20">
        <v>46040.740520833337</v>
      </c>
      <c r="F42" t="s">
        <v>88</v>
      </c>
      <c r="G42" t="s">
        <v>180</v>
      </c>
      <c r="H42" s="1"/>
      <c r="I42" t="e">
        <f>_xlfn.LET(_xlpm.ref_val,INDEX(annuaire[nom],MATCH(#REF!,annuaire[id],0)),
_xlpm.db_val,members[[#This Row],[last_name]],
IF(_xlpm.ref_val=_xlpm.db_val,"","!!"))</f>
        <v>#REF!</v>
      </c>
      <c r="J42" t="e">
        <f>_xlfn.LET(_xlpm.ref_val,INDEX(annuaire[prenom],MATCH(#REF!,annuaire[id],0)),
_xlpm.db_val,members[[#This Row],[first_name]],
IF(_xlpm.ref_val=_xlpm.db_val,"","!!"))</f>
        <v>#REF!</v>
      </c>
      <c r="K4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2" t="e">
        <f>_xlfn.LET(_xlpm.ref_val,INDEX(annuaire[pseudo_discord],MATCH(#REF!,annuaire[id],0)),
_xlpm.db_val,members[[#This Row],[discord]],
IF(_xlpm.ref_val=_xlpm.db_val,"","!!"))</f>
        <v>#REF!</v>
      </c>
    </row>
    <row r="43" spans="1:12" x14ac:dyDescent="0.25">
      <c r="A43">
        <v>42</v>
      </c>
      <c r="B43">
        <v>45</v>
      </c>
      <c r="D43" s="20">
        <v>46040.740520833337</v>
      </c>
      <c r="F43" t="s">
        <v>132</v>
      </c>
      <c r="G43" t="s">
        <v>131</v>
      </c>
      <c r="H43" s="1"/>
      <c r="I43" t="e">
        <f>_xlfn.LET(_xlpm.ref_val,INDEX(annuaire[nom],MATCH(#REF!,annuaire[id],0)),
_xlpm.db_val,members[[#This Row],[last_name]],
IF(_xlpm.ref_val=_xlpm.db_val,"","!!"))</f>
        <v>#REF!</v>
      </c>
      <c r="J43" t="e">
        <f>_xlfn.LET(_xlpm.ref_val,INDEX(annuaire[prenom],MATCH(#REF!,annuaire[id],0)),
_xlpm.db_val,members[[#This Row],[first_name]],
IF(_xlpm.ref_val=_xlpm.db_val,"","!!"))</f>
        <v>#REF!</v>
      </c>
      <c r="K4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3" t="e">
        <f>_xlfn.LET(_xlpm.ref_val,INDEX(annuaire[pseudo_discord],MATCH(#REF!,annuaire[id],0)),
_xlpm.db_val,members[[#This Row],[discord]],
IF(_xlpm.ref_val=_xlpm.db_val,"","!!"))</f>
        <v>#REF!</v>
      </c>
    </row>
    <row r="44" spans="1:12" x14ac:dyDescent="0.25">
      <c r="A44">
        <v>43</v>
      </c>
      <c r="B44">
        <v>46</v>
      </c>
      <c r="D44" s="20">
        <v>46040.740520833337</v>
      </c>
      <c r="F44" t="s">
        <v>59</v>
      </c>
      <c r="G44" t="s">
        <v>58</v>
      </c>
      <c r="H44" s="1"/>
      <c r="I44" t="e">
        <f>_xlfn.LET(_xlpm.ref_val,INDEX(annuaire[nom],MATCH(#REF!,annuaire[id],0)),
_xlpm.db_val,members[[#This Row],[last_name]],
IF(_xlpm.ref_val=_xlpm.db_val,"","!!"))</f>
        <v>#REF!</v>
      </c>
      <c r="J44" t="e">
        <f>_xlfn.LET(_xlpm.ref_val,INDEX(annuaire[prenom],MATCH(#REF!,annuaire[id],0)),
_xlpm.db_val,members[[#This Row],[first_name]],
IF(_xlpm.ref_val=_xlpm.db_val,"","!!"))</f>
        <v>#REF!</v>
      </c>
      <c r="K4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4" t="e">
        <f>_xlfn.LET(_xlpm.ref_val,INDEX(annuaire[pseudo_discord],MATCH(#REF!,annuaire[id],0)),
_xlpm.db_val,members[[#This Row],[discord]],
IF(_xlpm.ref_val=_xlpm.db_val,"","!!"))</f>
        <v>#REF!</v>
      </c>
    </row>
    <row r="45" spans="1:12" x14ac:dyDescent="0.25">
      <c r="A45">
        <v>44</v>
      </c>
      <c r="B45">
        <v>25</v>
      </c>
      <c r="C45" t="s">
        <v>225</v>
      </c>
      <c r="D45" s="20">
        <v>46040.740520833337</v>
      </c>
      <c r="F45" t="s">
        <v>62</v>
      </c>
      <c r="G45" t="s">
        <v>61</v>
      </c>
      <c r="H45" s="1">
        <v>26573</v>
      </c>
      <c r="I45" t="e">
        <f>_xlfn.LET(_xlpm.ref_val,INDEX(annuaire[nom],MATCH(#REF!,annuaire[id],0)),
_xlpm.db_val,members[[#This Row],[last_name]],
IF(_xlpm.ref_val=_xlpm.db_val,"","!!"))</f>
        <v>#REF!</v>
      </c>
      <c r="J45" t="e">
        <f>_xlfn.LET(_xlpm.ref_val,INDEX(annuaire[prenom],MATCH(#REF!,annuaire[id],0)),
_xlpm.db_val,members[[#This Row],[first_name]],
IF(_xlpm.ref_val=_xlpm.db_val,"","!!"))</f>
        <v>#REF!</v>
      </c>
      <c r="K4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5" t="e">
        <f>_xlfn.LET(_xlpm.ref_val,INDEX(annuaire[pseudo_discord],MATCH(#REF!,annuaire[id],0)),
_xlpm.db_val,members[[#This Row],[discord]],
IF(_xlpm.ref_val=_xlpm.db_val,"","!!"))</f>
        <v>#REF!</v>
      </c>
    </row>
    <row r="46" spans="1:12" x14ac:dyDescent="0.25">
      <c r="A46">
        <v>45</v>
      </c>
      <c r="B46">
        <v>47</v>
      </c>
      <c r="D46" s="20">
        <v>46040.740520833337</v>
      </c>
      <c r="F46" t="s">
        <v>88</v>
      </c>
      <c r="G46" t="s">
        <v>179</v>
      </c>
      <c r="H46" s="1"/>
      <c r="I46" t="e">
        <f>_xlfn.LET(_xlpm.ref_val,INDEX(annuaire[nom],MATCH(#REF!,annuaire[id],0)),
_xlpm.db_val,members[[#This Row],[last_name]],
IF(_xlpm.ref_val=_xlpm.db_val,"","!!"))</f>
        <v>#REF!</v>
      </c>
      <c r="J46" t="e">
        <f>_xlfn.LET(_xlpm.ref_val,INDEX(annuaire[prenom],MATCH(#REF!,annuaire[id],0)),
_xlpm.db_val,members[[#This Row],[first_name]],
IF(_xlpm.ref_val=_xlpm.db_val,"","!!"))</f>
        <v>#REF!</v>
      </c>
      <c r="K4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6" t="e">
        <f>_xlfn.LET(_xlpm.ref_val,INDEX(annuaire[pseudo_discord],MATCH(#REF!,annuaire[id],0)),
_xlpm.db_val,members[[#This Row],[discord]],
IF(_xlpm.ref_val=_xlpm.db_val,"","!!"))</f>
        <v>#REF!</v>
      </c>
    </row>
    <row r="47" spans="1:12" x14ac:dyDescent="0.25">
      <c r="A47">
        <v>46</v>
      </c>
      <c r="B47">
        <v>48</v>
      </c>
      <c r="C47" t="s">
        <v>362</v>
      </c>
      <c r="D47" s="20">
        <v>46040.740520833337</v>
      </c>
      <c r="F47" t="s">
        <v>48</v>
      </c>
      <c r="G47" t="s">
        <v>47</v>
      </c>
      <c r="H47" s="1">
        <v>28283</v>
      </c>
      <c r="I47" t="e">
        <f>_xlfn.LET(_xlpm.ref_val,INDEX(annuaire[nom],MATCH(#REF!,annuaire[id],0)),
_xlpm.db_val,members[[#This Row],[last_name]],
IF(_xlpm.ref_val=_xlpm.db_val,"","!!"))</f>
        <v>#REF!</v>
      </c>
      <c r="J47" t="e">
        <f>_xlfn.LET(_xlpm.ref_val,INDEX(annuaire[prenom],MATCH(#REF!,annuaire[id],0)),
_xlpm.db_val,members[[#This Row],[first_name]],
IF(_xlpm.ref_val=_xlpm.db_val,"","!!"))</f>
        <v>#REF!</v>
      </c>
      <c r="K4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7" t="e">
        <f>_xlfn.LET(_xlpm.ref_val,INDEX(annuaire[pseudo_discord],MATCH(#REF!,annuaire[id],0)),
_xlpm.db_val,members[[#This Row],[discord]],
IF(_xlpm.ref_val=_xlpm.db_val,"","!!"))</f>
        <v>#REF!</v>
      </c>
    </row>
    <row r="48" spans="1:12" x14ac:dyDescent="0.25">
      <c r="A48">
        <v>47</v>
      </c>
      <c r="B48">
        <v>50</v>
      </c>
      <c r="D48" s="20">
        <v>46040.740520833337</v>
      </c>
      <c r="F48" t="s">
        <v>28</v>
      </c>
      <c r="G48" t="s">
        <v>27</v>
      </c>
      <c r="H48" s="1"/>
      <c r="I48" t="e">
        <f>_xlfn.LET(_xlpm.ref_val,INDEX(annuaire[nom],MATCH(#REF!,annuaire[id],0)),
_xlpm.db_val,members[[#This Row],[last_name]],
IF(_xlpm.ref_val=_xlpm.db_val,"","!!"))</f>
        <v>#REF!</v>
      </c>
      <c r="J48" t="e">
        <f>_xlfn.LET(_xlpm.ref_val,INDEX(annuaire[prenom],MATCH(#REF!,annuaire[id],0)),
_xlpm.db_val,members[[#This Row],[first_name]],
IF(_xlpm.ref_val=_xlpm.db_val,"","!!"))</f>
        <v>#REF!</v>
      </c>
      <c r="K4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8" t="e">
        <f>_xlfn.LET(_xlpm.ref_val,INDEX(annuaire[pseudo_discord],MATCH(#REF!,annuaire[id],0)),
_xlpm.db_val,members[[#This Row],[discord]],
IF(_xlpm.ref_val=_xlpm.db_val,"","!!"))</f>
        <v>#REF!</v>
      </c>
    </row>
    <row r="49" spans="1:12" x14ac:dyDescent="0.25">
      <c r="A49">
        <v>48</v>
      </c>
      <c r="B49">
        <v>51</v>
      </c>
      <c r="D49" s="20">
        <v>46040.740520833337</v>
      </c>
      <c r="F49" t="s">
        <v>121</v>
      </c>
      <c r="G49" t="s">
        <v>120</v>
      </c>
      <c r="H49" s="1"/>
      <c r="I49" t="e">
        <f>_xlfn.LET(_xlpm.ref_val,INDEX(annuaire[nom],MATCH(#REF!,annuaire[id],0)),
_xlpm.db_val,members[[#This Row],[last_name]],
IF(_xlpm.ref_val=_xlpm.db_val,"","!!"))</f>
        <v>#REF!</v>
      </c>
      <c r="J49" t="e">
        <f>_xlfn.LET(_xlpm.ref_val,INDEX(annuaire[prenom],MATCH(#REF!,annuaire[id],0)),
_xlpm.db_val,members[[#This Row],[first_name]],
IF(_xlpm.ref_val=_xlpm.db_val,"","!!"))</f>
        <v>#REF!</v>
      </c>
      <c r="K4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49" t="e">
        <f>_xlfn.LET(_xlpm.ref_val,INDEX(annuaire[pseudo_discord],MATCH(#REF!,annuaire[id],0)),
_xlpm.db_val,members[[#This Row],[discord]],
IF(_xlpm.ref_val=_xlpm.db_val,"","!!"))</f>
        <v>#REF!</v>
      </c>
    </row>
    <row r="50" spans="1:12" x14ac:dyDescent="0.25">
      <c r="A50">
        <v>49</v>
      </c>
      <c r="B50">
        <v>52</v>
      </c>
      <c r="D50" s="20">
        <v>46040.740520833337</v>
      </c>
      <c r="F50" t="s">
        <v>123</v>
      </c>
      <c r="G50" t="s">
        <v>122</v>
      </c>
      <c r="H50" s="1"/>
      <c r="I50" t="e">
        <f>_xlfn.LET(_xlpm.ref_val,INDEX(annuaire[nom],MATCH(#REF!,annuaire[id],0)),
_xlpm.db_val,members[[#This Row],[last_name]],
IF(_xlpm.ref_val=_xlpm.db_val,"","!!"))</f>
        <v>#REF!</v>
      </c>
      <c r="J50" t="e">
        <f>_xlfn.LET(_xlpm.ref_val,INDEX(annuaire[prenom],MATCH(#REF!,annuaire[id],0)),
_xlpm.db_val,members[[#This Row],[first_name]],
IF(_xlpm.ref_val=_xlpm.db_val,"","!!"))</f>
        <v>#REF!</v>
      </c>
      <c r="K5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0" t="e">
        <f>_xlfn.LET(_xlpm.ref_val,INDEX(annuaire[pseudo_discord],MATCH(#REF!,annuaire[id],0)),
_xlpm.db_val,members[[#This Row],[discord]],
IF(_xlpm.ref_val=_xlpm.db_val,"","!!"))</f>
        <v>#REF!</v>
      </c>
    </row>
    <row r="51" spans="1:12" x14ac:dyDescent="0.25">
      <c r="A51">
        <v>50</v>
      </c>
      <c r="C51" t="s">
        <v>363</v>
      </c>
      <c r="D51" s="20">
        <v>46040.740520833337</v>
      </c>
      <c r="H51" s="1"/>
      <c r="I51" t="e">
        <f>_xlfn.LET(_xlpm.ref_val,INDEX(annuaire[nom],MATCH(#REF!,annuaire[id],0)),
_xlpm.db_val,members[[#This Row],[last_name]],
IF(_xlpm.ref_val=_xlpm.db_val,"","!!"))</f>
        <v>#REF!</v>
      </c>
      <c r="J51" t="e">
        <f>_xlfn.LET(_xlpm.ref_val,INDEX(annuaire[prenom],MATCH(#REF!,annuaire[id],0)),
_xlpm.db_val,members[[#This Row],[first_name]],
IF(_xlpm.ref_val=_xlpm.db_val,"","!!"))</f>
        <v>#REF!</v>
      </c>
      <c r="K5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1" t="e">
        <f>_xlfn.LET(_xlpm.ref_val,INDEX(annuaire[pseudo_discord],MATCH(#REF!,annuaire[id],0)),
_xlpm.db_val,members[[#This Row],[discord]],
IF(_xlpm.ref_val=_xlpm.db_val,"","!!"))</f>
        <v>#REF!</v>
      </c>
    </row>
    <row r="52" spans="1:12" x14ac:dyDescent="0.25">
      <c r="A52">
        <v>51</v>
      </c>
      <c r="C52" t="s">
        <v>625</v>
      </c>
      <c r="D52" s="20">
        <v>46040.740520833337</v>
      </c>
      <c r="H52" s="1"/>
      <c r="I52" t="e">
        <f>_xlfn.LET(_xlpm.ref_val,INDEX(annuaire[nom],MATCH(#REF!,annuaire[id],0)),
_xlpm.db_val,members[[#This Row],[last_name]],
IF(_xlpm.ref_val=_xlpm.db_val,"","!!"))</f>
        <v>#REF!</v>
      </c>
      <c r="J52" t="e">
        <f>_xlfn.LET(_xlpm.ref_val,INDEX(annuaire[prenom],MATCH(#REF!,annuaire[id],0)),
_xlpm.db_val,members[[#This Row],[first_name]],
IF(_xlpm.ref_val=_xlpm.db_val,"","!!"))</f>
        <v>#REF!</v>
      </c>
      <c r="K5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2" t="e">
        <f>_xlfn.LET(_xlpm.ref_val,INDEX(annuaire[pseudo_discord],MATCH(#REF!,annuaire[id],0)),
_xlpm.db_val,members[[#This Row],[discord]],
IF(_xlpm.ref_val=_xlpm.db_val,"","!!"))</f>
        <v>#REF!</v>
      </c>
    </row>
    <row r="53" spans="1:12" x14ac:dyDescent="0.25">
      <c r="A53">
        <v>52</v>
      </c>
      <c r="B53">
        <v>53</v>
      </c>
      <c r="D53" s="20">
        <v>46040.740520833337</v>
      </c>
      <c r="F53" t="s">
        <v>91</v>
      </c>
      <c r="G53" t="s">
        <v>90</v>
      </c>
      <c r="H53" s="1"/>
      <c r="I53" t="e">
        <f>_xlfn.LET(_xlpm.ref_val,INDEX(annuaire[nom],MATCH(#REF!,annuaire[id],0)),
_xlpm.db_val,members[[#This Row],[last_name]],
IF(_xlpm.ref_val=_xlpm.db_val,"","!!"))</f>
        <v>#REF!</v>
      </c>
      <c r="J53" t="e">
        <f>_xlfn.LET(_xlpm.ref_val,INDEX(annuaire[prenom],MATCH(#REF!,annuaire[id],0)),
_xlpm.db_val,members[[#This Row],[first_name]],
IF(_xlpm.ref_val=_xlpm.db_val,"","!!"))</f>
        <v>#REF!</v>
      </c>
      <c r="K5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3" t="e">
        <f>_xlfn.LET(_xlpm.ref_val,INDEX(annuaire[pseudo_discord],MATCH(#REF!,annuaire[id],0)),
_xlpm.db_val,members[[#This Row],[discord]],
IF(_xlpm.ref_val=_xlpm.db_val,"","!!"))</f>
        <v>#REF!</v>
      </c>
    </row>
    <row r="54" spans="1:12" x14ac:dyDescent="0.25">
      <c r="A54">
        <v>53</v>
      </c>
      <c r="B54">
        <v>54</v>
      </c>
      <c r="D54" s="20">
        <v>46040.740520833337</v>
      </c>
      <c r="F54" t="s">
        <v>204</v>
      </c>
      <c r="G54" t="s">
        <v>203</v>
      </c>
      <c r="H54" s="1"/>
      <c r="I54" t="e">
        <f>_xlfn.LET(_xlpm.ref_val,INDEX(annuaire[nom],MATCH(#REF!,annuaire[id],0)),
_xlpm.db_val,members[[#This Row],[last_name]],
IF(_xlpm.ref_val=_xlpm.db_val,"","!!"))</f>
        <v>#REF!</v>
      </c>
      <c r="J54" t="e">
        <f>_xlfn.LET(_xlpm.ref_val,INDEX(annuaire[prenom],MATCH(#REF!,annuaire[id],0)),
_xlpm.db_val,members[[#This Row],[first_name]],
IF(_xlpm.ref_val=_xlpm.db_val,"","!!"))</f>
        <v>#REF!</v>
      </c>
      <c r="K5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4" t="e">
        <f>_xlfn.LET(_xlpm.ref_val,INDEX(annuaire[pseudo_discord],MATCH(#REF!,annuaire[id],0)),
_xlpm.db_val,members[[#This Row],[discord]],
IF(_xlpm.ref_val=_xlpm.db_val,"","!!"))</f>
        <v>#REF!</v>
      </c>
    </row>
    <row r="55" spans="1:12" x14ac:dyDescent="0.25">
      <c r="A55">
        <v>54</v>
      </c>
      <c r="B55">
        <v>55</v>
      </c>
      <c r="D55" s="20">
        <v>46040.740520833337</v>
      </c>
      <c r="F55" t="s">
        <v>52</v>
      </c>
      <c r="G55" t="s">
        <v>60</v>
      </c>
      <c r="H55" s="1"/>
      <c r="I55" t="e">
        <f>_xlfn.LET(_xlpm.ref_val,INDEX(annuaire[nom],MATCH(#REF!,annuaire[id],0)),
_xlpm.db_val,members[[#This Row],[last_name]],
IF(_xlpm.ref_val=_xlpm.db_val,"","!!"))</f>
        <v>#REF!</v>
      </c>
      <c r="J55" t="e">
        <f>_xlfn.LET(_xlpm.ref_val,INDEX(annuaire[prenom],MATCH(#REF!,annuaire[id],0)),
_xlpm.db_val,members[[#This Row],[first_name]],
IF(_xlpm.ref_val=_xlpm.db_val,"","!!"))</f>
        <v>#REF!</v>
      </c>
      <c r="K5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5" t="e">
        <f>_xlfn.LET(_xlpm.ref_val,INDEX(annuaire[pseudo_discord],MATCH(#REF!,annuaire[id],0)),
_xlpm.db_val,members[[#This Row],[discord]],
IF(_xlpm.ref_val=_xlpm.db_val,"","!!"))</f>
        <v>#REF!</v>
      </c>
    </row>
    <row r="56" spans="1:12" x14ac:dyDescent="0.25">
      <c r="A56">
        <v>55</v>
      </c>
      <c r="B56">
        <v>56</v>
      </c>
      <c r="C56" t="s">
        <v>373</v>
      </c>
      <c r="D56" s="20">
        <v>46040.740520833337</v>
      </c>
      <c r="F56" t="s">
        <v>202</v>
      </c>
      <c r="G56" t="s">
        <v>201</v>
      </c>
      <c r="H56" s="1"/>
      <c r="I56" t="e">
        <f>_xlfn.LET(_xlpm.ref_val,INDEX(annuaire[nom],MATCH(#REF!,annuaire[id],0)),
_xlpm.db_val,members[[#This Row],[last_name]],
IF(_xlpm.ref_val=_xlpm.db_val,"","!!"))</f>
        <v>#REF!</v>
      </c>
      <c r="J56" t="e">
        <f>_xlfn.LET(_xlpm.ref_val,INDEX(annuaire[prenom],MATCH(#REF!,annuaire[id],0)),
_xlpm.db_val,members[[#This Row],[first_name]],
IF(_xlpm.ref_val=_xlpm.db_val,"","!!"))</f>
        <v>#REF!</v>
      </c>
      <c r="K5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6" t="e">
        <f>_xlfn.LET(_xlpm.ref_val,INDEX(annuaire[pseudo_discord],MATCH(#REF!,annuaire[id],0)),
_xlpm.db_val,members[[#This Row],[discord]],
IF(_xlpm.ref_val=_xlpm.db_val,"","!!"))</f>
        <v>#REF!</v>
      </c>
    </row>
    <row r="57" spans="1:12" x14ac:dyDescent="0.25">
      <c r="A57">
        <v>56</v>
      </c>
      <c r="B57">
        <v>57</v>
      </c>
      <c r="C57" t="s">
        <v>375</v>
      </c>
      <c r="D57" s="20">
        <v>46040.740520833337</v>
      </c>
      <c r="F57" t="s">
        <v>84</v>
      </c>
      <c r="G57" t="s">
        <v>198</v>
      </c>
      <c r="H57" s="1"/>
      <c r="I57" t="e">
        <f>_xlfn.LET(_xlpm.ref_val,INDEX(annuaire[nom],MATCH(#REF!,annuaire[id],0)),
_xlpm.db_val,members[[#This Row],[last_name]],
IF(_xlpm.ref_val=_xlpm.db_val,"","!!"))</f>
        <v>#REF!</v>
      </c>
      <c r="J57" t="e">
        <f>_xlfn.LET(_xlpm.ref_val,INDEX(annuaire[prenom],MATCH(#REF!,annuaire[id],0)),
_xlpm.db_val,members[[#This Row],[first_name]],
IF(_xlpm.ref_val=_xlpm.db_val,"","!!"))</f>
        <v>#REF!</v>
      </c>
      <c r="K5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7" t="e">
        <f>_xlfn.LET(_xlpm.ref_val,INDEX(annuaire[pseudo_discord],MATCH(#REF!,annuaire[id],0)),
_xlpm.db_val,members[[#This Row],[discord]],
IF(_xlpm.ref_val=_xlpm.db_val,"","!!"))</f>
        <v>#REF!</v>
      </c>
    </row>
    <row r="58" spans="1:12" x14ac:dyDescent="0.25">
      <c r="A58">
        <v>57</v>
      </c>
      <c r="B58">
        <v>58</v>
      </c>
      <c r="C58" t="s">
        <v>315</v>
      </c>
      <c r="D58" s="20">
        <v>46040.740520833337</v>
      </c>
      <c r="F58" t="s">
        <v>81</v>
      </c>
      <c r="G58" t="s">
        <v>80</v>
      </c>
      <c r="H58" s="1"/>
      <c r="I58" t="e">
        <f>_xlfn.LET(_xlpm.ref_val,INDEX(annuaire[nom],MATCH(#REF!,annuaire[id],0)),
_xlpm.db_val,members[[#This Row],[last_name]],
IF(_xlpm.ref_val=_xlpm.db_val,"","!!"))</f>
        <v>#REF!</v>
      </c>
      <c r="J58" t="e">
        <f>_xlfn.LET(_xlpm.ref_val,INDEX(annuaire[prenom],MATCH(#REF!,annuaire[id],0)),
_xlpm.db_val,members[[#This Row],[first_name]],
IF(_xlpm.ref_val=_xlpm.db_val,"","!!"))</f>
        <v>#REF!</v>
      </c>
      <c r="K5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8" t="e">
        <f>_xlfn.LET(_xlpm.ref_val,INDEX(annuaire[pseudo_discord],MATCH(#REF!,annuaire[id],0)),
_xlpm.db_val,members[[#This Row],[discord]],
IF(_xlpm.ref_val=_xlpm.db_val,"","!!"))</f>
        <v>#REF!</v>
      </c>
    </row>
    <row r="59" spans="1:12" x14ac:dyDescent="0.25">
      <c r="A59">
        <v>58</v>
      </c>
      <c r="B59">
        <v>59</v>
      </c>
      <c r="C59" t="s">
        <v>349</v>
      </c>
      <c r="D59" s="20">
        <v>46040.740520833337</v>
      </c>
      <c r="F59" t="s">
        <v>20</v>
      </c>
      <c r="G59" t="s">
        <v>150</v>
      </c>
      <c r="H59" s="1">
        <v>34017</v>
      </c>
      <c r="I59" t="e">
        <f>_xlfn.LET(_xlpm.ref_val,INDEX(annuaire[nom],MATCH(#REF!,annuaire[id],0)),
_xlpm.db_val,members[[#This Row],[last_name]],
IF(_xlpm.ref_val=_xlpm.db_val,"","!!"))</f>
        <v>#REF!</v>
      </c>
      <c r="J59" t="e">
        <f>_xlfn.LET(_xlpm.ref_val,INDEX(annuaire[prenom],MATCH(#REF!,annuaire[id],0)),
_xlpm.db_val,members[[#This Row],[first_name]],
IF(_xlpm.ref_val=_xlpm.db_val,"","!!"))</f>
        <v>#REF!</v>
      </c>
      <c r="K5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59" t="e">
        <f>_xlfn.LET(_xlpm.ref_val,INDEX(annuaire[pseudo_discord],MATCH(#REF!,annuaire[id],0)),
_xlpm.db_val,members[[#This Row],[discord]],
IF(_xlpm.ref_val=_xlpm.db_val,"","!!"))</f>
        <v>#REF!</v>
      </c>
    </row>
    <row r="60" spans="1:12" x14ac:dyDescent="0.25">
      <c r="A60">
        <v>59</v>
      </c>
      <c r="B60">
        <v>60</v>
      </c>
      <c r="C60" t="s">
        <v>338</v>
      </c>
      <c r="D60" s="20">
        <v>46040.740520833337</v>
      </c>
      <c r="F60" t="s">
        <v>55</v>
      </c>
      <c r="G60" t="s">
        <v>169</v>
      </c>
      <c r="H60" s="1"/>
      <c r="I60" t="e">
        <f>_xlfn.LET(_xlpm.ref_val,INDEX(annuaire[nom],MATCH(#REF!,annuaire[id],0)),
_xlpm.db_val,members[[#This Row],[last_name]],
IF(_xlpm.ref_val=_xlpm.db_val,"","!!"))</f>
        <v>#REF!</v>
      </c>
      <c r="J60" t="e">
        <f>_xlfn.LET(_xlpm.ref_val,INDEX(annuaire[prenom],MATCH(#REF!,annuaire[id],0)),
_xlpm.db_val,members[[#This Row],[first_name]],
IF(_xlpm.ref_val=_xlpm.db_val,"","!!"))</f>
        <v>#REF!</v>
      </c>
      <c r="K6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0" t="e">
        <f>_xlfn.LET(_xlpm.ref_val,INDEX(annuaire[pseudo_discord],MATCH(#REF!,annuaire[id],0)),
_xlpm.db_val,members[[#This Row],[discord]],
IF(_xlpm.ref_val=_xlpm.db_val,"","!!"))</f>
        <v>#REF!</v>
      </c>
    </row>
    <row r="61" spans="1:12" x14ac:dyDescent="0.25">
      <c r="A61">
        <v>60</v>
      </c>
      <c r="B61">
        <v>61</v>
      </c>
      <c r="D61" s="20">
        <v>46040.740520833337</v>
      </c>
      <c r="F61" t="s">
        <v>112</v>
      </c>
      <c r="G61" t="s">
        <v>190</v>
      </c>
      <c r="H61" s="1"/>
      <c r="I61" t="e">
        <f>_xlfn.LET(_xlpm.ref_val,INDEX(annuaire[nom],MATCH(#REF!,annuaire[id],0)),
_xlpm.db_val,members[[#This Row],[last_name]],
IF(_xlpm.ref_val=_xlpm.db_val,"","!!"))</f>
        <v>#REF!</v>
      </c>
      <c r="J61" t="e">
        <f>_xlfn.LET(_xlpm.ref_val,INDEX(annuaire[prenom],MATCH(#REF!,annuaire[id],0)),
_xlpm.db_val,members[[#This Row],[first_name]],
IF(_xlpm.ref_val=_xlpm.db_val,"","!!"))</f>
        <v>#REF!</v>
      </c>
      <c r="K6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1" t="e">
        <f>_xlfn.LET(_xlpm.ref_val,INDEX(annuaire[pseudo_discord],MATCH(#REF!,annuaire[id],0)),
_xlpm.db_val,members[[#This Row],[discord]],
IF(_xlpm.ref_val=_xlpm.db_val,"","!!"))</f>
        <v>#REF!</v>
      </c>
    </row>
    <row r="62" spans="1:12" x14ac:dyDescent="0.25">
      <c r="A62">
        <v>61</v>
      </c>
      <c r="B62">
        <v>62</v>
      </c>
      <c r="D62" s="20">
        <v>46040.740520833337</v>
      </c>
      <c r="F62" t="s">
        <v>194</v>
      </c>
      <c r="G62" t="s">
        <v>193</v>
      </c>
      <c r="H62" s="1"/>
      <c r="I62" t="e">
        <f>_xlfn.LET(_xlpm.ref_val,INDEX(annuaire[nom],MATCH(#REF!,annuaire[id],0)),
_xlpm.db_val,members[[#This Row],[last_name]],
IF(_xlpm.ref_val=_xlpm.db_val,"","!!"))</f>
        <v>#REF!</v>
      </c>
      <c r="J62" t="e">
        <f>_xlfn.LET(_xlpm.ref_val,INDEX(annuaire[prenom],MATCH(#REF!,annuaire[id],0)),
_xlpm.db_val,members[[#This Row],[first_name]],
IF(_xlpm.ref_val=_xlpm.db_val,"","!!"))</f>
        <v>#REF!</v>
      </c>
      <c r="K6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2" t="e">
        <f>_xlfn.LET(_xlpm.ref_val,INDEX(annuaire[pseudo_discord],MATCH(#REF!,annuaire[id],0)),
_xlpm.db_val,members[[#This Row],[discord]],
IF(_xlpm.ref_val=_xlpm.db_val,"","!!"))</f>
        <v>#REF!</v>
      </c>
    </row>
    <row r="63" spans="1:12" x14ac:dyDescent="0.25">
      <c r="A63">
        <v>62</v>
      </c>
      <c r="B63">
        <v>63</v>
      </c>
      <c r="C63" t="s">
        <v>313</v>
      </c>
      <c r="D63" s="20">
        <v>46040.740520833337</v>
      </c>
      <c r="F63" t="s">
        <v>70</v>
      </c>
      <c r="G63" t="s">
        <v>69</v>
      </c>
      <c r="H63" s="1">
        <v>31316</v>
      </c>
      <c r="I63" t="e">
        <f>_xlfn.LET(_xlpm.ref_val,INDEX(annuaire[nom],MATCH(#REF!,annuaire[id],0)),
_xlpm.db_val,members[[#This Row],[last_name]],
IF(_xlpm.ref_val=_xlpm.db_val,"","!!"))</f>
        <v>#REF!</v>
      </c>
      <c r="J63" t="e">
        <f>_xlfn.LET(_xlpm.ref_val,INDEX(annuaire[prenom],MATCH(#REF!,annuaire[id],0)),
_xlpm.db_val,members[[#This Row],[first_name]],
IF(_xlpm.ref_val=_xlpm.db_val,"","!!"))</f>
        <v>#REF!</v>
      </c>
      <c r="K6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3" t="e">
        <f>_xlfn.LET(_xlpm.ref_val,INDEX(annuaire[pseudo_discord],MATCH(#REF!,annuaire[id],0)),
_xlpm.db_val,members[[#This Row],[discord]],
IF(_xlpm.ref_val=_xlpm.db_val,"","!!"))</f>
        <v>#REF!</v>
      </c>
    </row>
    <row r="64" spans="1:12" x14ac:dyDescent="0.25">
      <c r="A64">
        <v>63</v>
      </c>
      <c r="B64">
        <v>9</v>
      </c>
      <c r="C64" t="s">
        <v>236</v>
      </c>
      <c r="D64" s="20">
        <v>46040.740520833337</v>
      </c>
      <c r="F64" t="s">
        <v>26</v>
      </c>
      <c r="G64" t="s">
        <v>148</v>
      </c>
      <c r="H64" s="1">
        <v>29133</v>
      </c>
      <c r="I64" t="e">
        <f>_xlfn.LET(_xlpm.ref_val,INDEX(annuaire[nom],MATCH(#REF!,annuaire[id],0)),
_xlpm.db_val,members[[#This Row],[last_name]],
IF(_xlpm.ref_val=_xlpm.db_val,"","!!"))</f>
        <v>#REF!</v>
      </c>
      <c r="J64" t="e">
        <f>_xlfn.LET(_xlpm.ref_val,INDEX(annuaire[prenom],MATCH(#REF!,annuaire[id],0)),
_xlpm.db_val,members[[#This Row],[first_name]],
IF(_xlpm.ref_val=_xlpm.db_val,"","!!"))</f>
        <v>#REF!</v>
      </c>
      <c r="K6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4" t="e">
        <f>_xlfn.LET(_xlpm.ref_val,INDEX(annuaire[pseudo_discord],MATCH(#REF!,annuaire[id],0)),
_xlpm.db_val,members[[#This Row],[discord]],
IF(_xlpm.ref_val=_xlpm.db_val,"","!!"))</f>
        <v>#REF!</v>
      </c>
    </row>
    <row r="65" spans="1:12" x14ac:dyDescent="0.25">
      <c r="A65">
        <v>64</v>
      </c>
      <c r="B65">
        <v>64</v>
      </c>
      <c r="D65" s="20">
        <v>46040.740520833337</v>
      </c>
      <c r="F65" t="s">
        <v>111</v>
      </c>
      <c r="G65" t="s">
        <v>434</v>
      </c>
      <c r="H65" s="1">
        <v>31579</v>
      </c>
      <c r="I65" t="e">
        <f>_xlfn.LET(_xlpm.ref_val,INDEX(annuaire[nom],MATCH(#REF!,annuaire[id],0)),
_xlpm.db_val,members[[#This Row],[last_name]],
IF(_xlpm.ref_val=_xlpm.db_val,"","!!"))</f>
        <v>#REF!</v>
      </c>
      <c r="J65" t="e">
        <f>_xlfn.LET(_xlpm.ref_val,INDEX(annuaire[prenom],MATCH(#REF!,annuaire[id],0)),
_xlpm.db_val,members[[#This Row],[first_name]],
IF(_xlpm.ref_val=_xlpm.db_val,"","!!"))</f>
        <v>#REF!</v>
      </c>
      <c r="K6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5" t="e">
        <f>_xlfn.LET(_xlpm.ref_val,INDEX(annuaire[pseudo_discord],MATCH(#REF!,annuaire[id],0)),
_xlpm.db_val,members[[#This Row],[discord]],
IF(_xlpm.ref_val=_xlpm.db_val,"","!!"))</f>
        <v>#REF!</v>
      </c>
    </row>
    <row r="66" spans="1:12" x14ac:dyDescent="0.25">
      <c r="A66">
        <v>65</v>
      </c>
      <c r="B66">
        <v>65</v>
      </c>
      <c r="C66" t="s">
        <v>325</v>
      </c>
      <c r="D66" s="20">
        <v>46040.740520833337</v>
      </c>
      <c r="F66" t="s">
        <v>26</v>
      </c>
      <c r="G66" t="s">
        <v>187</v>
      </c>
      <c r="H66" s="1"/>
      <c r="I66" t="e">
        <f>_xlfn.LET(_xlpm.ref_val,INDEX(annuaire[nom],MATCH(#REF!,annuaire[id],0)),
_xlpm.db_val,members[[#This Row],[last_name]],
IF(_xlpm.ref_val=_xlpm.db_val,"","!!"))</f>
        <v>#REF!</v>
      </c>
      <c r="J66" t="e">
        <f>_xlfn.LET(_xlpm.ref_val,INDEX(annuaire[prenom],MATCH(#REF!,annuaire[id],0)),
_xlpm.db_val,members[[#This Row],[first_name]],
IF(_xlpm.ref_val=_xlpm.db_val,"","!!"))</f>
        <v>#REF!</v>
      </c>
      <c r="K6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6" t="e">
        <f>_xlfn.LET(_xlpm.ref_val,INDEX(annuaire[pseudo_discord],MATCH(#REF!,annuaire[id],0)),
_xlpm.db_val,members[[#This Row],[discord]],
IF(_xlpm.ref_val=_xlpm.db_val,"","!!"))</f>
        <v>#REF!</v>
      </c>
    </row>
    <row r="67" spans="1:12" x14ac:dyDescent="0.25">
      <c r="A67">
        <v>66</v>
      </c>
      <c r="B67">
        <v>66</v>
      </c>
      <c r="C67" t="s">
        <v>220</v>
      </c>
      <c r="D67" s="20">
        <v>46040.740520833337</v>
      </c>
      <c r="F67" t="s">
        <v>30</v>
      </c>
      <c r="G67" t="s">
        <v>29</v>
      </c>
      <c r="H67" s="1"/>
      <c r="I67" t="e">
        <f>_xlfn.LET(_xlpm.ref_val,INDEX(annuaire[nom],MATCH(#REF!,annuaire[id],0)),
_xlpm.db_val,members[[#This Row],[last_name]],
IF(_xlpm.ref_val=_xlpm.db_val,"","!!"))</f>
        <v>#REF!</v>
      </c>
      <c r="J67" t="e">
        <f>_xlfn.LET(_xlpm.ref_val,INDEX(annuaire[prenom],MATCH(#REF!,annuaire[id],0)),
_xlpm.db_val,members[[#This Row],[first_name]],
IF(_xlpm.ref_val=_xlpm.db_val,"","!!"))</f>
        <v>#REF!</v>
      </c>
      <c r="K6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7" t="e">
        <f>_xlfn.LET(_xlpm.ref_val,INDEX(annuaire[pseudo_discord],MATCH(#REF!,annuaire[id],0)),
_xlpm.db_val,members[[#This Row],[discord]],
IF(_xlpm.ref_val=_xlpm.db_val,"","!!"))</f>
        <v>#REF!</v>
      </c>
    </row>
    <row r="68" spans="1:12" x14ac:dyDescent="0.25">
      <c r="A68">
        <v>67</v>
      </c>
      <c r="B68">
        <v>67</v>
      </c>
      <c r="D68" s="20">
        <v>46040.740520833337</v>
      </c>
      <c r="F68" t="s">
        <v>93</v>
      </c>
      <c r="G68" t="s">
        <v>92</v>
      </c>
      <c r="H68" s="1"/>
      <c r="I68" t="e">
        <f>_xlfn.LET(_xlpm.ref_val,INDEX(annuaire[nom],MATCH(#REF!,annuaire[id],0)),
_xlpm.db_val,members[[#This Row],[last_name]],
IF(_xlpm.ref_val=_xlpm.db_val,"","!!"))</f>
        <v>#REF!</v>
      </c>
      <c r="J68" t="e">
        <f>_xlfn.LET(_xlpm.ref_val,INDEX(annuaire[prenom],MATCH(#REF!,annuaire[id],0)),
_xlpm.db_val,members[[#This Row],[first_name]],
IF(_xlpm.ref_val=_xlpm.db_val,"","!!"))</f>
        <v>#REF!</v>
      </c>
      <c r="K6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8" t="e">
        <f>_xlfn.LET(_xlpm.ref_val,INDEX(annuaire[pseudo_discord],MATCH(#REF!,annuaire[id],0)),
_xlpm.db_val,members[[#This Row],[discord]],
IF(_xlpm.ref_val=_xlpm.db_val,"","!!"))</f>
        <v>#REF!</v>
      </c>
    </row>
    <row r="69" spans="1:12" x14ac:dyDescent="0.25">
      <c r="A69">
        <v>68</v>
      </c>
      <c r="B69">
        <v>68</v>
      </c>
      <c r="C69" t="s">
        <v>361</v>
      </c>
      <c r="D69" s="20">
        <v>46040.740520833337</v>
      </c>
      <c r="F69" t="s">
        <v>48</v>
      </c>
      <c r="G69" t="s">
        <v>174</v>
      </c>
      <c r="H69" s="1">
        <v>30304</v>
      </c>
      <c r="I69" t="e">
        <f>_xlfn.LET(_xlpm.ref_val,INDEX(annuaire[nom],MATCH(#REF!,annuaire[id],0)),
_xlpm.db_val,members[[#This Row],[last_name]],
IF(_xlpm.ref_val=_xlpm.db_val,"","!!"))</f>
        <v>#REF!</v>
      </c>
      <c r="J69" t="e">
        <f>_xlfn.LET(_xlpm.ref_val,INDEX(annuaire[prenom],MATCH(#REF!,annuaire[id],0)),
_xlpm.db_val,members[[#This Row],[first_name]],
IF(_xlpm.ref_val=_xlpm.db_val,"","!!"))</f>
        <v>#REF!</v>
      </c>
      <c r="K6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69" t="e">
        <f>_xlfn.LET(_xlpm.ref_val,INDEX(annuaire[pseudo_discord],MATCH(#REF!,annuaire[id],0)),
_xlpm.db_val,members[[#This Row],[discord]],
IF(_xlpm.ref_val=_xlpm.db_val,"","!!"))</f>
        <v>#REF!</v>
      </c>
    </row>
    <row r="70" spans="1:12" x14ac:dyDescent="0.25">
      <c r="A70">
        <v>69</v>
      </c>
      <c r="B70">
        <v>69</v>
      </c>
      <c r="C70" t="s">
        <v>226</v>
      </c>
      <c r="D70" s="20">
        <v>46040.740520833337</v>
      </c>
      <c r="F70" t="s">
        <v>74</v>
      </c>
      <c r="G70" t="s">
        <v>73</v>
      </c>
      <c r="H70" s="1"/>
      <c r="I70" t="e">
        <f>_xlfn.LET(_xlpm.ref_val,INDEX(annuaire[nom],MATCH(#REF!,annuaire[id],0)),
_xlpm.db_val,members[[#This Row],[last_name]],
IF(_xlpm.ref_val=_xlpm.db_val,"","!!"))</f>
        <v>#REF!</v>
      </c>
      <c r="J70" t="e">
        <f>_xlfn.LET(_xlpm.ref_val,INDEX(annuaire[prenom],MATCH(#REF!,annuaire[id],0)),
_xlpm.db_val,members[[#This Row],[first_name]],
IF(_xlpm.ref_val=_xlpm.db_val,"","!!"))</f>
        <v>#REF!</v>
      </c>
      <c r="K7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0" t="e">
        <f>_xlfn.LET(_xlpm.ref_val,INDEX(annuaire[pseudo_discord],MATCH(#REF!,annuaire[id],0)),
_xlpm.db_val,members[[#This Row],[discord]],
IF(_xlpm.ref_val=_xlpm.db_val,"","!!"))</f>
        <v>#REF!</v>
      </c>
    </row>
    <row r="71" spans="1:12" x14ac:dyDescent="0.25">
      <c r="A71">
        <v>70</v>
      </c>
      <c r="B71">
        <v>70</v>
      </c>
      <c r="C71" t="s">
        <v>370</v>
      </c>
      <c r="D71" s="20">
        <v>46040.740520833337</v>
      </c>
      <c r="F71" t="s">
        <v>152</v>
      </c>
      <c r="G71" t="s">
        <v>151</v>
      </c>
      <c r="H71" s="1">
        <v>28117</v>
      </c>
      <c r="I71" t="e">
        <f>_xlfn.LET(_xlpm.ref_val,INDEX(annuaire[nom],MATCH(#REF!,annuaire[id],0)),
_xlpm.db_val,members[[#This Row],[last_name]],
IF(_xlpm.ref_val=_xlpm.db_val,"","!!"))</f>
        <v>#REF!</v>
      </c>
      <c r="J71" t="e">
        <f>_xlfn.LET(_xlpm.ref_val,INDEX(annuaire[prenom],MATCH(#REF!,annuaire[id],0)),
_xlpm.db_val,members[[#This Row],[first_name]],
IF(_xlpm.ref_val=_xlpm.db_val,"","!!"))</f>
        <v>#REF!</v>
      </c>
      <c r="K7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1" t="e">
        <f>_xlfn.LET(_xlpm.ref_val,INDEX(annuaire[pseudo_discord],MATCH(#REF!,annuaire[id],0)),
_xlpm.db_val,members[[#This Row],[discord]],
IF(_xlpm.ref_val=_xlpm.db_val,"","!!"))</f>
        <v>#REF!</v>
      </c>
    </row>
    <row r="72" spans="1:12" x14ac:dyDescent="0.25">
      <c r="A72">
        <v>71</v>
      </c>
      <c r="B72">
        <v>71</v>
      </c>
      <c r="C72" t="s">
        <v>317</v>
      </c>
      <c r="D72" s="20">
        <v>46040.740520833337</v>
      </c>
      <c r="F72" t="s">
        <v>88</v>
      </c>
      <c r="G72" t="s">
        <v>87</v>
      </c>
      <c r="H72" s="1">
        <v>30599</v>
      </c>
      <c r="I72" t="e">
        <f>_xlfn.LET(_xlpm.ref_val,INDEX(annuaire[nom],MATCH(#REF!,annuaire[id],0)),
_xlpm.db_val,members[[#This Row],[last_name]],
IF(_xlpm.ref_val=_xlpm.db_val,"","!!"))</f>
        <v>#REF!</v>
      </c>
      <c r="J72" t="e">
        <f>_xlfn.LET(_xlpm.ref_val,INDEX(annuaire[prenom],MATCH(#REF!,annuaire[id],0)),
_xlpm.db_val,members[[#This Row],[first_name]],
IF(_xlpm.ref_val=_xlpm.db_val,"","!!"))</f>
        <v>#REF!</v>
      </c>
      <c r="K7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2" t="e">
        <f>_xlfn.LET(_xlpm.ref_val,INDEX(annuaire[pseudo_discord],MATCH(#REF!,annuaire[id],0)),
_xlpm.db_val,members[[#This Row],[discord]],
IF(_xlpm.ref_val=_xlpm.db_val,"","!!"))</f>
        <v>#REF!</v>
      </c>
    </row>
    <row r="73" spans="1:12" x14ac:dyDescent="0.25">
      <c r="A73">
        <v>72</v>
      </c>
      <c r="B73">
        <v>72</v>
      </c>
      <c r="C73" t="s">
        <v>535</v>
      </c>
      <c r="D73" s="20">
        <v>46040.740520833337</v>
      </c>
      <c r="F73" t="s">
        <v>86</v>
      </c>
      <c r="G73" t="s">
        <v>191</v>
      </c>
      <c r="H73" s="1"/>
      <c r="I73" t="e">
        <f>_xlfn.LET(_xlpm.ref_val,INDEX(annuaire[nom],MATCH(#REF!,annuaire[id],0)),
_xlpm.db_val,members[[#This Row],[last_name]],
IF(_xlpm.ref_val=_xlpm.db_val,"","!!"))</f>
        <v>#REF!</v>
      </c>
      <c r="J73" t="e">
        <f>_xlfn.LET(_xlpm.ref_val,INDEX(annuaire[prenom],MATCH(#REF!,annuaire[id],0)),
_xlpm.db_val,members[[#This Row],[first_name]],
IF(_xlpm.ref_val=_xlpm.db_val,"","!!"))</f>
        <v>#REF!</v>
      </c>
      <c r="K7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3" t="e">
        <f>_xlfn.LET(_xlpm.ref_val,INDEX(annuaire[pseudo_discord],MATCH(#REF!,annuaire[id],0)),
_xlpm.db_val,members[[#This Row],[discord]],
IF(_xlpm.ref_val=_xlpm.db_val,"","!!"))</f>
        <v>#REF!</v>
      </c>
    </row>
    <row r="74" spans="1:12" x14ac:dyDescent="0.25">
      <c r="A74">
        <v>73</v>
      </c>
      <c r="B74">
        <v>73</v>
      </c>
      <c r="C74" t="s">
        <v>318</v>
      </c>
      <c r="D74" s="20">
        <v>46040.740520833337</v>
      </c>
      <c r="F74" t="s">
        <v>103</v>
      </c>
      <c r="G74" t="s">
        <v>102</v>
      </c>
      <c r="H74" s="1">
        <v>36199</v>
      </c>
      <c r="I74" t="e">
        <f>_xlfn.LET(_xlpm.ref_val,INDEX(annuaire[nom],MATCH(#REF!,annuaire[id],0)),
_xlpm.db_val,members[[#This Row],[last_name]],
IF(_xlpm.ref_val=_xlpm.db_val,"","!!"))</f>
        <v>#REF!</v>
      </c>
      <c r="J74" t="e">
        <f>_xlfn.LET(_xlpm.ref_val,INDEX(annuaire[prenom],MATCH(#REF!,annuaire[id],0)),
_xlpm.db_val,members[[#This Row],[first_name]],
IF(_xlpm.ref_val=_xlpm.db_val,"","!!"))</f>
        <v>#REF!</v>
      </c>
      <c r="K7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4" t="e">
        <f>_xlfn.LET(_xlpm.ref_val,INDEX(annuaire[pseudo_discord],MATCH(#REF!,annuaire[id],0)),
_xlpm.db_val,members[[#This Row],[discord]],
IF(_xlpm.ref_val=_xlpm.db_val,"","!!"))</f>
        <v>#REF!</v>
      </c>
    </row>
    <row r="75" spans="1:12" x14ac:dyDescent="0.25">
      <c r="A75">
        <v>74</v>
      </c>
      <c r="B75">
        <v>74</v>
      </c>
      <c r="D75" s="20">
        <v>46040.740520833337</v>
      </c>
      <c r="F75" t="s">
        <v>57</v>
      </c>
      <c r="G75" t="s">
        <v>56</v>
      </c>
      <c r="H75" s="1"/>
      <c r="I75" t="e">
        <f>_xlfn.LET(_xlpm.ref_val,INDEX(annuaire[nom],MATCH(#REF!,annuaire[id],0)),
_xlpm.db_val,members[[#This Row],[last_name]],
IF(_xlpm.ref_val=_xlpm.db_val,"","!!"))</f>
        <v>#REF!</v>
      </c>
      <c r="J75" t="e">
        <f>_xlfn.LET(_xlpm.ref_val,INDEX(annuaire[prenom],MATCH(#REF!,annuaire[id],0)),
_xlpm.db_val,members[[#This Row],[first_name]],
IF(_xlpm.ref_val=_xlpm.db_val,"","!!"))</f>
        <v>#REF!</v>
      </c>
      <c r="K7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5" t="e">
        <f>_xlfn.LET(_xlpm.ref_val,INDEX(annuaire[pseudo_discord],MATCH(#REF!,annuaire[id],0)),
_xlpm.db_val,members[[#This Row],[discord]],
IF(_xlpm.ref_val=_xlpm.db_val,"","!!"))</f>
        <v>#REF!</v>
      </c>
    </row>
    <row r="76" spans="1:12" x14ac:dyDescent="0.25">
      <c r="A76">
        <v>75</v>
      </c>
      <c r="B76">
        <v>75</v>
      </c>
      <c r="C76" t="s">
        <v>324</v>
      </c>
      <c r="D76" s="20">
        <v>46040.740520833337</v>
      </c>
      <c r="F76" t="s">
        <v>38</v>
      </c>
      <c r="G76" t="s">
        <v>37</v>
      </c>
      <c r="H76" s="1">
        <v>33807</v>
      </c>
      <c r="I76" t="e">
        <f>_xlfn.LET(_xlpm.ref_val,INDEX(annuaire[nom],MATCH(#REF!,annuaire[id],0)),
_xlpm.db_val,members[[#This Row],[last_name]],
IF(_xlpm.ref_val=_xlpm.db_val,"","!!"))</f>
        <v>#REF!</v>
      </c>
      <c r="J76" t="e">
        <f>_xlfn.LET(_xlpm.ref_val,INDEX(annuaire[prenom],MATCH(#REF!,annuaire[id],0)),
_xlpm.db_val,members[[#This Row],[first_name]],
IF(_xlpm.ref_val=_xlpm.db_val,"","!!"))</f>
        <v>#REF!</v>
      </c>
      <c r="K7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6" t="e">
        <f>_xlfn.LET(_xlpm.ref_val,INDEX(annuaire[pseudo_discord],MATCH(#REF!,annuaire[id],0)),
_xlpm.db_val,members[[#This Row],[discord]],
IF(_xlpm.ref_val=_xlpm.db_val,"","!!"))</f>
        <v>#REF!</v>
      </c>
    </row>
    <row r="77" spans="1:12" x14ac:dyDescent="0.25">
      <c r="A77">
        <v>76</v>
      </c>
      <c r="B77">
        <v>77</v>
      </c>
      <c r="C77" t="s">
        <v>339</v>
      </c>
      <c r="D77" s="20">
        <v>46040.740520833337</v>
      </c>
      <c r="F77" t="s">
        <v>142</v>
      </c>
      <c r="G77" t="s">
        <v>141</v>
      </c>
      <c r="H77" s="1">
        <v>33591</v>
      </c>
      <c r="I77" t="e">
        <f>_xlfn.LET(_xlpm.ref_val,INDEX(annuaire[nom],MATCH(#REF!,annuaire[id],0)),
_xlpm.db_val,members[[#This Row],[last_name]],
IF(_xlpm.ref_val=_xlpm.db_val,"","!!"))</f>
        <v>#REF!</v>
      </c>
      <c r="J77" t="e">
        <f>_xlfn.LET(_xlpm.ref_val,INDEX(annuaire[prenom],MATCH(#REF!,annuaire[id],0)),
_xlpm.db_val,members[[#This Row],[first_name]],
IF(_xlpm.ref_val=_xlpm.db_val,"","!!"))</f>
        <v>#REF!</v>
      </c>
      <c r="K7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7" t="e">
        <f>_xlfn.LET(_xlpm.ref_val,INDEX(annuaire[pseudo_discord],MATCH(#REF!,annuaire[id],0)),
_xlpm.db_val,members[[#This Row],[discord]],
IF(_xlpm.ref_val=_xlpm.db_val,"","!!"))</f>
        <v>#REF!</v>
      </c>
    </row>
    <row r="78" spans="1:12" x14ac:dyDescent="0.25">
      <c r="A78">
        <v>77</v>
      </c>
      <c r="B78">
        <v>78</v>
      </c>
      <c r="C78" t="s">
        <v>340</v>
      </c>
      <c r="D78" s="20">
        <v>46040.740520833337</v>
      </c>
      <c r="F78" t="s">
        <v>99</v>
      </c>
      <c r="G78" t="s">
        <v>98</v>
      </c>
      <c r="H78" s="1"/>
      <c r="I78" t="e">
        <f>_xlfn.LET(_xlpm.ref_val,INDEX(annuaire[nom],MATCH(#REF!,annuaire[id],0)),
_xlpm.db_val,members[[#This Row],[last_name]],
IF(_xlpm.ref_val=_xlpm.db_val,"","!!"))</f>
        <v>#REF!</v>
      </c>
      <c r="J78" t="e">
        <f>_xlfn.LET(_xlpm.ref_val,INDEX(annuaire[prenom],MATCH(#REF!,annuaire[id],0)),
_xlpm.db_val,members[[#This Row],[first_name]],
IF(_xlpm.ref_val=_xlpm.db_val,"","!!"))</f>
        <v>#REF!</v>
      </c>
      <c r="K7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8" t="e">
        <f>_xlfn.LET(_xlpm.ref_val,INDEX(annuaire[pseudo_discord],MATCH(#REF!,annuaire[id],0)),
_xlpm.db_val,members[[#This Row],[discord]],
IF(_xlpm.ref_val=_xlpm.db_val,"","!!"))</f>
        <v>#REF!</v>
      </c>
    </row>
    <row r="79" spans="1:12" x14ac:dyDescent="0.25">
      <c r="A79">
        <v>78</v>
      </c>
      <c r="B79">
        <v>79</v>
      </c>
      <c r="C79" t="s">
        <v>353</v>
      </c>
      <c r="D79" s="20">
        <v>46040.740520833337</v>
      </c>
      <c r="F79" t="s">
        <v>14</v>
      </c>
      <c r="G79" t="s">
        <v>13</v>
      </c>
      <c r="H79" s="1">
        <v>33940</v>
      </c>
      <c r="I79" t="e">
        <f>_xlfn.LET(_xlpm.ref_val,INDEX(annuaire[nom],MATCH(#REF!,annuaire[id],0)),
_xlpm.db_val,members[[#This Row],[last_name]],
IF(_xlpm.ref_val=_xlpm.db_val,"","!!"))</f>
        <v>#REF!</v>
      </c>
      <c r="J79" t="e">
        <f>_xlfn.LET(_xlpm.ref_val,INDEX(annuaire[prenom],MATCH(#REF!,annuaire[id],0)),
_xlpm.db_val,members[[#This Row],[first_name]],
IF(_xlpm.ref_val=_xlpm.db_val,"","!!"))</f>
        <v>#REF!</v>
      </c>
      <c r="K7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79" t="e">
        <f>_xlfn.LET(_xlpm.ref_val,INDEX(annuaire[pseudo_discord],MATCH(#REF!,annuaire[id],0)),
_xlpm.db_val,members[[#This Row],[discord]],
IF(_xlpm.ref_val=_xlpm.db_val,"","!!"))</f>
        <v>#REF!</v>
      </c>
    </row>
    <row r="80" spans="1:12" x14ac:dyDescent="0.25">
      <c r="A80">
        <v>79</v>
      </c>
      <c r="B80">
        <v>80</v>
      </c>
      <c r="C80" t="s">
        <v>364</v>
      </c>
      <c r="D80" s="20">
        <v>46040.740520833337</v>
      </c>
      <c r="F80" t="s">
        <v>40</v>
      </c>
      <c r="G80" t="s">
        <v>39</v>
      </c>
      <c r="H80" s="1">
        <v>30117</v>
      </c>
      <c r="I80" t="e">
        <f>_xlfn.LET(_xlpm.ref_val,INDEX(annuaire[nom],MATCH(#REF!,annuaire[id],0)),
_xlpm.db_val,members[[#This Row],[last_name]],
IF(_xlpm.ref_val=_xlpm.db_val,"","!!"))</f>
        <v>#REF!</v>
      </c>
      <c r="J80" t="e">
        <f>_xlfn.LET(_xlpm.ref_val,INDEX(annuaire[prenom],MATCH(#REF!,annuaire[id],0)),
_xlpm.db_val,members[[#This Row],[first_name]],
IF(_xlpm.ref_val=_xlpm.db_val,"","!!"))</f>
        <v>#REF!</v>
      </c>
      <c r="K8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0" t="e">
        <f>_xlfn.LET(_xlpm.ref_val,INDEX(annuaire[pseudo_discord],MATCH(#REF!,annuaire[id],0)),
_xlpm.db_val,members[[#This Row],[discord]],
IF(_xlpm.ref_val=_xlpm.db_val,"","!!"))</f>
        <v>#REF!</v>
      </c>
    </row>
    <row r="81" spans="1:12" x14ac:dyDescent="0.25">
      <c r="A81">
        <v>80</v>
      </c>
      <c r="B81">
        <v>81</v>
      </c>
      <c r="C81" t="s">
        <v>351</v>
      </c>
      <c r="D81" s="20">
        <v>46040.740520833337</v>
      </c>
      <c r="F81" t="s">
        <v>116</v>
      </c>
      <c r="G81" t="s">
        <v>128</v>
      </c>
      <c r="H81" s="1">
        <v>34422</v>
      </c>
      <c r="I81" t="e">
        <f>_xlfn.LET(_xlpm.ref_val,INDEX(annuaire[nom],MATCH(#REF!,annuaire[id],0)),
_xlpm.db_val,members[[#This Row],[last_name]],
IF(_xlpm.ref_val=_xlpm.db_val,"","!!"))</f>
        <v>#REF!</v>
      </c>
      <c r="J81" t="e">
        <f>_xlfn.LET(_xlpm.ref_val,INDEX(annuaire[prenom],MATCH(#REF!,annuaire[id],0)),
_xlpm.db_val,members[[#This Row],[first_name]],
IF(_xlpm.ref_val=_xlpm.db_val,"","!!"))</f>
        <v>#REF!</v>
      </c>
      <c r="K8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1" t="e">
        <f>_xlfn.LET(_xlpm.ref_val,INDEX(annuaire[pseudo_discord],MATCH(#REF!,annuaire[id],0)),
_xlpm.db_val,members[[#This Row],[discord]],
IF(_xlpm.ref_val=_xlpm.db_val,"","!!"))</f>
        <v>#REF!</v>
      </c>
    </row>
    <row r="82" spans="1:12" x14ac:dyDescent="0.25">
      <c r="A82">
        <v>81</v>
      </c>
      <c r="B82">
        <v>82</v>
      </c>
      <c r="C82" t="s">
        <v>374</v>
      </c>
      <c r="D82" s="20">
        <v>46040.740520833337</v>
      </c>
      <c r="F82" t="s">
        <v>33</v>
      </c>
      <c r="G82" t="s">
        <v>94</v>
      </c>
      <c r="H82" s="1">
        <v>32691</v>
      </c>
      <c r="I82" t="e">
        <f>_xlfn.LET(_xlpm.ref_val,INDEX(annuaire[nom],MATCH(#REF!,annuaire[id],0)),
_xlpm.db_val,members[[#This Row],[last_name]],
IF(_xlpm.ref_val=_xlpm.db_val,"","!!"))</f>
        <v>#REF!</v>
      </c>
      <c r="J82" t="e">
        <f>_xlfn.LET(_xlpm.ref_val,INDEX(annuaire[prenom],MATCH(#REF!,annuaire[id],0)),
_xlpm.db_val,members[[#This Row],[first_name]],
IF(_xlpm.ref_val=_xlpm.db_val,"","!!"))</f>
        <v>#REF!</v>
      </c>
      <c r="K8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2" t="e">
        <f>_xlfn.LET(_xlpm.ref_val,INDEX(annuaire[pseudo_discord],MATCH(#REF!,annuaire[id],0)),
_xlpm.db_val,members[[#This Row],[discord]],
IF(_xlpm.ref_val=_xlpm.db_val,"","!!"))</f>
        <v>#REF!</v>
      </c>
    </row>
    <row r="83" spans="1:12" x14ac:dyDescent="0.25">
      <c r="A83">
        <v>82</v>
      </c>
      <c r="B83">
        <v>76</v>
      </c>
      <c r="D83" s="20">
        <v>46040.740520833337</v>
      </c>
      <c r="F83" t="s">
        <v>66</v>
      </c>
      <c r="G83" t="s">
        <v>65</v>
      </c>
      <c r="H83" s="1">
        <v>34594</v>
      </c>
      <c r="I83" t="e">
        <f>_xlfn.LET(_xlpm.ref_val,INDEX(annuaire[nom],MATCH(#REF!,annuaire[id],0)),
_xlpm.db_val,members[[#This Row],[last_name]],
IF(_xlpm.ref_val=_xlpm.db_val,"","!!"))</f>
        <v>#REF!</v>
      </c>
      <c r="J83" t="e">
        <f>_xlfn.LET(_xlpm.ref_val,INDEX(annuaire[prenom],MATCH(#REF!,annuaire[id],0)),
_xlpm.db_val,members[[#This Row],[first_name]],
IF(_xlpm.ref_val=_xlpm.db_val,"","!!"))</f>
        <v>#REF!</v>
      </c>
      <c r="K8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3" t="e">
        <f>_xlfn.LET(_xlpm.ref_val,INDEX(annuaire[pseudo_discord],MATCH(#REF!,annuaire[id],0)),
_xlpm.db_val,members[[#This Row],[discord]],
IF(_xlpm.ref_val=_xlpm.db_val,"","!!"))</f>
        <v>#REF!</v>
      </c>
    </row>
    <row r="84" spans="1:12" x14ac:dyDescent="0.25">
      <c r="A84">
        <v>83</v>
      </c>
      <c r="B84">
        <v>83</v>
      </c>
      <c r="D84" s="20">
        <v>46040.740520833337</v>
      </c>
      <c r="F84" t="s">
        <v>89</v>
      </c>
      <c r="G84" t="s">
        <v>101</v>
      </c>
      <c r="H84" s="1"/>
      <c r="I84" t="e">
        <f>_xlfn.LET(_xlpm.ref_val,INDEX(annuaire[nom],MATCH(#REF!,annuaire[id],0)),
_xlpm.db_val,members[[#This Row],[last_name]],
IF(_xlpm.ref_val=_xlpm.db_val,"","!!"))</f>
        <v>#REF!</v>
      </c>
      <c r="J84" t="e">
        <f>_xlfn.LET(_xlpm.ref_val,INDEX(annuaire[prenom],MATCH(#REF!,annuaire[id],0)),
_xlpm.db_val,members[[#This Row],[first_name]],
IF(_xlpm.ref_val=_xlpm.db_val,"","!!"))</f>
        <v>#REF!</v>
      </c>
      <c r="K8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4" t="e">
        <f>_xlfn.LET(_xlpm.ref_val,INDEX(annuaire[pseudo_discord],MATCH(#REF!,annuaire[id],0)),
_xlpm.db_val,members[[#This Row],[discord]],
IF(_xlpm.ref_val=_xlpm.db_val,"","!!"))</f>
        <v>#REF!</v>
      </c>
    </row>
    <row r="85" spans="1:12" x14ac:dyDescent="0.25">
      <c r="A85">
        <v>84</v>
      </c>
      <c r="B85">
        <v>84</v>
      </c>
      <c r="C85" t="s">
        <v>342</v>
      </c>
      <c r="D85" s="20">
        <v>46040.740520833337</v>
      </c>
      <c r="F85" t="s">
        <v>158</v>
      </c>
      <c r="G85" t="s">
        <v>157</v>
      </c>
      <c r="H85" s="1"/>
      <c r="I85" t="e">
        <f>_xlfn.LET(_xlpm.ref_val,INDEX(annuaire[nom],MATCH(#REF!,annuaire[id],0)),
_xlpm.db_val,members[[#This Row],[last_name]],
IF(_xlpm.ref_val=_xlpm.db_val,"","!!"))</f>
        <v>#REF!</v>
      </c>
      <c r="J85" t="e">
        <f>_xlfn.LET(_xlpm.ref_val,INDEX(annuaire[prenom],MATCH(#REF!,annuaire[id],0)),
_xlpm.db_val,members[[#This Row],[first_name]],
IF(_xlpm.ref_val=_xlpm.db_val,"","!!"))</f>
        <v>#REF!</v>
      </c>
      <c r="K8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5" t="e">
        <f>_xlfn.LET(_xlpm.ref_val,INDEX(annuaire[pseudo_discord],MATCH(#REF!,annuaire[id],0)),
_xlpm.db_val,members[[#This Row],[discord]],
IF(_xlpm.ref_val=_xlpm.db_val,"","!!"))</f>
        <v>#REF!</v>
      </c>
    </row>
    <row r="86" spans="1:12" x14ac:dyDescent="0.25">
      <c r="A86">
        <v>85</v>
      </c>
      <c r="B86">
        <v>85</v>
      </c>
      <c r="D86" s="20">
        <v>46040.740520833337</v>
      </c>
      <c r="F86" t="s">
        <v>45</v>
      </c>
      <c r="G86" t="s">
        <v>44</v>
      </c>
      <c r="H86" s="1"/>
      <c r="I86" t="e">
        <f>_xlfn.LET(_xlpm.ref_val,INDEX(annuaire[nom],MATCH(#REF!,annuaire[id],0)),
_xlpm.db_val,members[[#This Row],[last_name]],
IF(_xlpm.ref_val=_xlpm.db_val,"","!!"))</f>
        <v>#REF!</v>
      </c>
      <c r="J86" t="e">
        <f>_xlfn.LET(_xlpm.ref_val,INDEX(annuaire[prenom],MATCH(#REF!,annuaire[id],0)),
_xlpm.db_val,members[[#This Row],[first_name]],
IF(_xlpm.ref_val=_xlpm.db_val,"","!!"))</f>
        <v>#REF!</v>
      </c>
      <c r="K8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6" t="e">
        <f>_xlfn.LET(_xlpm.ref_val,INDEX(annuaire[pseudo_discord],MATCH(#REF!,annuaire[id],0)),
_xlpm.db_val,members[[#This Row],[discord]],
IF(_xlpm.ref_val=_xlpm.db_val,"","!!"))</f>
        <v>#REF!</v>
      </c>
    </row>
    <row r="87" spans="1:12" x14ac:dyDescent="0.25">
      <c r="A87">
        <v>86</v>
      </c>
      <c r="B87">
        <v>86</v>
      </c>
      <c r="C87" t="s">
        <v>345</v>
      </c>
      <c r="D87" s="20">
        <v>46040.740520833337</v>
      </c>
      <c r="F87" t="s">
        <v>166</v>
      </c>
      <c r="G87" t="s">
        <v>164</v>
      </c>
      <c r="H87" s="1">
        <v>32176</v>
      </c>
      <c r="I87" t="e">
        <f>_xlfn.LET(_xlpm.ref_val,INDEX(annuaire[nom],MATCH(#REF!,annuaire[id],0)),
_xlpm.db_val,members[[#This Row],[last_name]],
IF(_xlpm.ref_val=_xlpm.db_val,"","!!"))</f>
        <v>#REF!</v>
      </c>
      <c r="J87" t="e">
        <f>_xlfn.LET(_xlpm.ref_val,INDEX(annuaire[prenom],MATCH(#REF!,annuaire[id],0)),
_xlpm.db_val,members[[#This Row],[first_name]],
IF(_xlpm.ref_val=_xlpm.db_val,"","!!"))</f>
        <v>#REF!</v>
      </c>
      <c r="K8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7" t="e">
        <f>_xlfn.LET(_xlpm.ref_val,INDEX(annuaire[pseudo_discord],MATCH(#REF!,annuaire[id],0)),
_xlpm.db_val,members[[#This Row],[discord]],
IF(_xlpm.ref_val=_xlpm.db_val,"","!!"))</f>
        <v>#REF!</v>
      </c>
    </row>
    <row r="88" spans="1:12" x14ac:dyDescent="0.25">
      <c r="A88">
        <v>87</v>
      </c>
      <c r="B88">
        <v>87</v>
      </c>
      <c r="C88" t="s">
        <v>323</v>
      </c>
      <c r="D88" s="20">
        <v>46040.740520833337</v>
      </c>
      <c r="F88" t="s">
        <v>17</v>
      </c>
      <c r="G88" t="s">
        <v>170</v>
      </c>
      <c r="H88" s="1">
        <v>30671</v>
      </c>
      <c r="I88" t="e">
        <f>_xlfn.LET(_xlpm.ref_val,INDEX(annuaire[nom],MATCH(#REF!,annuaire[id],0)),
_xlpm.db_val,members[[#This Row],[last_name]],
IF(_xlpm.ref_val=_xlpm.db_val,"","!!"))</f>
        <v>#REF!</v>
      </c>
      <c r="J88" t="e">
        <f>_xlfn.LET(_xlpm.ref_val,INDEX(annuaire[prenom],MATCH(#REF!,annuaire[id],0)),
_xlpm.db_val,members[[#This Row],[first_name]],
IF(_xlpm.ref_val=_xlpm.db_val,"","!!"))</f>
        <v>#REF!</v>
      </c>
      <c r="K8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8" t="e">
        <f>_xlfn.LET(_xlpm.ref_val,INDEX(annuaire[pseudo_discord],MATCH(#REF!,annuaire[id],0)),
_xlpm.db_val,members[[#This Row],[discord]],
IF(_xlpm.ref_val=_xlpm.db_val,"","!!"))</f>
        <v>#REF!</v>
      </c>
    </row>
    <row r="89" spans="1:12" x14ac:dyDescent="0.25">
      <c r="A89">
        <v>88</v>
      </c>
      <c r="B89">
        <v>88</v>
      </c>
      <c r="C89" t="s">
        <v>329</v>
      </c>
      <c r="D89" s="20">
        <v>46040.740520833337</v>
      </c>
      <c r="F89" t="s">
        <v>134</v>
      </c>
      <c r="G89" t="s">
        <v>133</v>
      </c>
      <c r="H89" s="1">
        <v>32083</v>
      </c>
      <c r="I89" t="e">
        <f>_xlfn.LET(_xlpm.ref_val,INDEX(annuaire[nom],MATCH(#REF!,annuaire[id],0)),
_xlpm.db_val,members[[#This Row],[last_name]],
IF(_xlpm.ref_val=_xlpm.db_val,"","!!"))</f>
        <v>#REF!</v>
      </c>
      <c r="J89" t="e">
        <f>_xlfn.LET(_xlpm.ref_val,INDEX(annuaire[prenom],MATCH(#REF!,annuaire[id],0)),
_xlpm.db_val,members[[#This Row],[first_name]],
IF(_xlpm.ref_val=_xlpm.db_val,"","!!"))</f>
        <v>#REF!</v>
      </c>
      <c r="K8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89" t="e">
        <f>_xlfn.LET(_xlpm.ref_val,INDEX(annuaire[pseudo_discord],MATCH(#REF!,annuaire[id],0)),
_xlpm.db_val,members[[#This Row],[discord]],
IF(_xlpm.ref_val=_xlpm.db_val,"","!!"))</f>
        <v>#REF!</v>
      </c>
    </row>
    <row r="90" spans="1:12" x14ac:dyDescent="0.25">
      <c r="A90">
        <v>89</v>
      </c>
      <c r="B90">
        <v>89</v>
      </c>
      <c r="D90" s="20">
        <v>46040.740520833337</v>
      </c>
      <c r="F90" t="s">
        <v>130</v>
      </c>
      <c r="G90" t="s">
        <v>129</v>
      </c>
      <c r="H90" s="1"/>
      <c r="I90" t="e">
        <f>_xlfn.LET(_xlpm.ref_val,INDEX(annuaire[nom],MATCH(#REF!,annuaire[id],0)),
_xlpm.db_val,members[[#This Row],[last_name]],
IF(_xlpm.ref_val=_xlpm.db_val,"","!!"))</f>
        <v>#REF!</v>
      </c>
      <c r="J90" t="e">
        <f>_xlfn.LET(_xlpm.ref_val,INDEX(annuaire[prenom],MATCH(#REF!,annuaire[id],0)),
_xlpm.db_val,members[[#This Row],[first_name]],
IF(_xlpm.ref_val=_xlpm.db_val,"","!!"))</f>
        <v>#REF!</v>
      </c>
      <c r="K9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0" t="e">
        <f>_xlfn.LET(_xlpm.ref_val,INDEX(annuaire[pseudo_discord],MATCH(#REF!,annuaire[id],0)),
_xlpm.db_val,members[[#This Row],[discord]],
IF(_xlpm.ref_val=_xlpm.db_val,"","!!"))</f>
        <v>#REF!</v>
      </c>
    </row>
    <row r="91" spans="1:12" x14ac:dyDescent="0.25">
      <c r="A91">
        <v>90</v>
      </c>
      <c r="B91">
        <v>90</v>
      </c>
      <c r="D91" s="20">
        <v>46040.740520833337</v>
      </c>
      <c r="F91" t="s">
        <v>110</v>
      </c>
      <c r="G91" t="s">
        <v>200</v>
      </c>
      <c r="H91" s="1"/>
      <c r="I91" t="e">
        <f>_xlfn.LET(_xlpm.ref_val,INDEX(annuaire[nom],MATCH(#REF!,annuaire[id],0)),
_xlpm.db_val,members[[#This Row],[last_name]],
IF(_xlpm.ref_val=_xlpm.db_val,"","!!"))</f>
        <v>#REF!</v>
      </c>
      <c r="J91" t="e">
        <f>_xlfn.LET(_xlpm.ref_val,INDEX(annuaire[prenom],MATCH(#REF!,annuaire[id],0)),
_xlpm.db_val,members[[#This Row],[first_name]],
IF(_xlpm.ref_val=_xlpm.db_val,"","!!"))</f>
        <v>#REF!</v>
      </c>
      <c r="K9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1" t="e">
        <f>_xlfn.LET(_xlpm.ref_val,INDEX(annuaire[pseudo_discord],MATCH(#REF!,annuaire[id],0)),
_xlpm.db_val,members[[#This Row],[discord]],
IF(_xlpm.ref_val=_xlpm.db_val,"","!!"))</f>
        <v>#REF!</v>
      </c>
    </row>
    <row r="92" spans="1:12" x14ac:dyDescent="0.25">
      <c r="A92">
        <v>91</v>
      </c>
      <c r="B92">
        <v>91</v>
      </c>
      <c r="C92" t="s">
        <v>335</v>
      </c>
      <c r="D92" s="20">
        <v>46040.740520833337</v>
      </c>
      <c r="F92" t="s">
        <v>34</v>
      </c>
      <c r="G92" t="s">
        <v>171</v>
      </c>
      <c r="H92" s="1">
        <v>24034</v>
      </c>
      <c r="I92" t="e">
        <f>_xlfn.LET(_xlpm.ref_val,INDEX(annuaire[nom],MATCH(#REF!,annuaire[id],0)),
_xlpm.db_val,members[[#This Row],[last_name]],
IF(_xlpm.ref_val=_xlpm.db_val,"","!!"))</f>
        <v>#REF!</v>
      </c>
      <c r="J92" t="e">
        <f>_xlfn.LET(_xlpm.ref_val,INDEX(annuaire[prenom],MATCH(#REF!,annuaire[id],0)),
_xlpm.db_val,members[[#This Row],[first_name]],
IF(_xlpm.ref_val=_xlpm.db_val,"","!!"))</f>
        <v>#REF!</v>
      </c>
      <c r="K9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2" t="e">
        <f>_xlfn.LET(_xlpm.ref_val,INDEX(annuaire[pseudo_discord],MATCH(#REF!,annuaire[id],0)),
_xlpm.db_val,members[[#This Row],[discord]],
IF(_xlpm.ref_val=_xlpm.db_val,"","!!"))</f>
        <v>#REF!</v>
      </c>
    </row>
    <row r="93" spans="1:12" x14ac:dyDescent="0.25">
      <c r="A93">
        <v>92</v>
      </c>
      <c r="B93">
        <v>92</v>
      </c>
      <c r="C93" t="s">
        <v>376</v>
      </c>
      <c r="D93" s="20">
        <v>46040.740520833337</v>
      </c>
      <c r="F93" t="s">
        <v>23</v>
      </c>
      <c r="G93" t="s">
        <v>100</v>
      </c>
      <c r="H93" s="1">
        <v>34618</v>
      </c>
      <c r="I93" t="e">
        <f>_xlfn.LET(_xlpm.ref_val,INDEX(annuaire[nom],MATCH(#REF!,annuaire[id],0)),
_xlpm.db_val,members[[#This Row],[last_name]],
IF(_xlpm.ref_val=_xlpm.db_val,"","!!"))</f>
        <v>#REF!</v>
      </c>
      <c r="J93" t="e">
        <f>_xlfn.LET(_xlpm.ref_val,INDEX(annuaire[prenom],MATCH(#REF!,annuaire[id],0)),
_xlpm.db_val,members[[#This Row],[first_name]],
IF(_xlpm.ref_val=_xlpm.db_val,"","!!"))</f>
        <v>#REF!</v>
      </c>
      <c r="K9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3" t="e">
        <f>_xlfn.LET(_xlpm.ref_val,INDEX(annuaire[pseudo_discord],MATCH(#REF!,annuaire[id],0)),
_xlpm.db_val,members[[#This Row],[discord]],
IF(_xlpm.ref_val=_xlpm.db_val,"","!!"))</f>
        <v>#REF!</v>
      </c>
    </row>
    <row r="94" spans="1:12" x14ac:dyDescent="0.25">
      <c r="A94">
        <v>93</v>
      </c>
      <c r="B94">
        <v>93</v>
      </c>
      <c r="D94" s="20">
        <v>46040.740520833337</v>
      </c>
      <c r="F94" t="s">
        <v>165</v>
      </c>
      <c r="G94" t="s">
        <v>164</v>
      </c>
      <c r="H94" s="1"/>
      <c r="I94" t="e">
        <f>_xlfn.LET(_xlpm.ref_val,INDEX(annuaire[nom],MATCH(#REF!,annuaire[id],0)),
_xlpm.db_val,members[[#This Row],[last_name]],
IF(_xlpm.ref_val=_xlpm.db_val,"","!!"))</f>
        <v>#REF!</v>
      </c>
      <c r="J94" t="e">
        <f>_xlfn.LET(_xlpm.ref_val,INDEX(annuaire[prenom],MATCH(#REF!,annuaire[id],0)),
_xlpm.db_val,members[[#This Row],[first_name]],
IF(_xlpm.ref_val=_xlpm.db_val,"","!!"))</f>
        <v>#REF!</v>
      </c>
      <c r="K9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4" t="e">
        <f>_xlfn.LET(_xlpm.ref_val,INDEX(annuaire[pseudo_discord],MATCH(#REF!,annuaire[id],0)),
_xlpm.db_val,members[[#This Row],[discord]],
IF(_xlpm.ref_val=_xlpm.db_val,"","!!"))</f>
        <v>#REF!</v>
      </c>
    </row>
    <row r="95" spans="1:12" x14ac:dyDescent="0.25">
      <c r="A95">
        <v>94</v>
      </c>
      <c r="B95">
        <v>94</v>
      </c>
      <c r="C95" t="s">
        <v>365</v>
      </c>
      <c r="D95" s="20">
        <v>46040.740520833337</v>
      </c>
      <c r="F95" t="s">
        <v>77</v>
      </c>
      <c r="G95" t="s">
        <v>76</v>
      </c>
      <c r="H95" s="1">
        <v>36643</v>
      </c>
      <c r="I95" t="e">
        <f>_xlfn.LET(_xlpm.ref_val,INDEX(annuaire[nom],MATCH(#REF!,annuaire[id],0)),
_xlpm.db_val,members[[#This Row],[last_name]],
IF(_xlpm.ref_val=_xlpm.db_val,"","!!"))</f>
        <v>#REF!</v>
      </c>
      <c r="J95" t="e">
        <f>_xlfn.LET(_xlpm.ref_val,INDEX(annuaire[prenom],MATCH(#REF!,annuaire[id],0)),
_xlpm.db_val,members[[#This Row],[first_name]],
IF(_xlpm.ref_val=_xlpm.db_val,"","!!"))</f>
        <v>#REF!</v>
      </c>
      <c r="K9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5" t="e">
        <f>_xlfn.LET(_xlpm.ref_val,INDEX(annuaire[pseudo_discord],MATCH(#REF!,annuaire[id],0)),
_xlpm.db_val,members[[#This Row],[discord]],
IF(_xlpm.ref_val=_xlpm.db_val,"","!!"))</f>
        <v>#REF!</v>
      </c>
    </row>
    <row r="96" spans="1:12" x14ac:dyDescent="0.25">
      <c r="A96">
        <v>95</v>
      </c>
      <c r="B96">
        <v>95</v>
      </c>
      <c r="C96" t="s">
        <v>356</v>
      </c>
      <c r="D96" s="20">
        <v>46040.740520833337</v>
      </c>
      <c r="F96" t="s">
        <v>25</v>
      </c>
      <c r="G96" t="s">
        <v>85</v>
      </c>
      <c r="H96" s="1">
        <v>36420</v>
      </c>
      <c r="I96" t="e">
        <f>_xlfn.LET(_xlpm.ref_val,INDEX(annuaire[nom],MATCH(#REF!,annuaire[id],0)),
_xlpm.db_val,members[[#This Row],[last_name]],
IF(_xlpm.ref_val=_xlpm.db_val,"","!!"))</f>
        <v>#REF!</v>
      </c>
      <c r="J96" t="e">
        <f>_xlfn.LET(_xlpm.ref_val,INDEX(annuaire[prenom],MATCH(#REF!,annuaire[id],0)),
_xlpm.db_val,members[[#This Row],[first_name]],
IF(_xlpm.ref_val=_xlpm.db_val,"","!!"))</f>
        <v>#REF!</v>
      </c>
      <c r="K9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6" t="e">
        <f>_xlfn.LET(_xlpm.ref_val,INDEX(annuaire[pseudo_discord],MATCH(#REF!,annuaire[id],0)),
_xlpm.db_val,members[[#This Row],[discord]],
IF(_xlpm.ref_val=_xlpm.db_val,"","!!"))</f>
        <v>#REF!</v>
      </c>
    </row>
    <row r="97" spans="1:12" x14ac:dyDescent="0.25">
      <c r="A97">
        <v>96</v>
      </c>
      <c r="B97">
        <v>96</v>
      </c>
      <c r="D97" s="20">
        <v>46040.740520833337</v>
      </c>
      <c r="F97" t="s">
        <v>38</v>
      </c>
      <c r="G97" t="s">
        <v>63</v>
      </c>
      <c r="H97" s="1"/>
      <c r="I97" t="e">
        <f>_xlfn.LET(_xlpm.ref_val,INDEX(annuaire[nom],MATCH(#REF!,annuaire[id],0)),
_xlpm.db_val,members[[#This Row],[last_name]],
IF(_xlpm.ref_val=_xlpm.db_val,"","!!"))</f>
        <v>#REF!</v>
      </c>
      <c r="J97" t="e">
        <f>_xlfn.LET(_xlpm.ref_val,INDEX(annuaire[prenom],MATCH(#REF!,annuaire[id],0)),
_xlpm.db_val,members[[#This Row],[first_name]],
IF(_xlpm.ref_val=_xlpm.db_val,"","!!"))</f>
        <v>#REF!</v>
      </c>
      <c r="K9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7" t="e">
        <f>_xlfn.LET(_xlpm.ref_val,INDEX(annuaire[pseudo_discord],MATCH(#REF!,annuaire[id],0)),
_xlpm.db_val,members[[#This Row],[discord]],
IF(_xlpm.ref_val=_xlpm.db_val,"","!!"))</f>
        <v>#REF!</v>
      </c>
    </row>
    <row r="98" spans="1:12" x14ac:dyDescent="0.25">
      <c r="A98">
        <v>97</v>
      </c>
      <c r="B98">
        <v>97</v>
      </c>
      <c r="D98" s="20">
        <v>46040.740520833337</v>
      </c>
      <c r="F98" t="s">
        <v>32</v>
      </c>
      <c r="G98" t="s">
        <v>75</v>
      </c>
      <c r="H98" s="1"/>
      <c r="I98" t="e">
        <f>_xlfn.LET(_xlpm.ref_val,INDEX(annuaire[nom],MATCH(#REF!,annuaire[id],0)),
_xlpm.db_val,members[[#This Row],[last_name]],
IF(_xlpm.ref_val=_xlpm.db_val,"","!!"))</f>
        <v>#REF!</v>
      </c>
      <c r="J98" t="e">
        <f>_xlfn.LET(_xlpm.ref_val,INDEX(annuaire[prenom],MATCH(#REF!,annuaire[id],0)),
_xlpm.db_val,members[[#This Row],[first_name]],
IF(_xlpm.ref_val=_xlpm.db_val,"","!!"))</f>
        <v>#REF!</v>
      </c>
      <c r="K9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8" t="e">
        <f>_xlfn.LET(_xlpm.ref_val,INDEX(annuaire[pseudo_discord],MATCH(#REF!,annuaire[id],0)),
_xlpm.db_val,members[[#This Row],[discord]],
IF(_xlpm.ref_val=_xlpm.db_val,"","!!"))</f>
        <v>#REF!</v>
      </c>
    </row>
    <row r="99" spans="1:12" x14ac:dyDescent="0.25">
      <c r="A99">
        <v>98</v>
      </c>
      <c r="B99">
        <v>16</v>
      </c>
      <c r="C99" t="s">
        <v>460</v>
      </c>
      <c r="D99" s="20">
        <v>46040.740520833337</v>
      </c>
      <c r="F99" t="s">
        <v>404</v>
      </c>
      <c r="G99" t="s">
        <v>76</v>
      </c>
      <c r="H99" s="1">
        <v>38578</v>
      </c>
      <c r="I99" t="e">
        <f>_xlfn.LET(_xlpm.ref_val,INDEX(annuaire[nom],MATCH(#REF!,annuaire[id],0)),
_xlpm.db_val,members[[#This Row],[last_name]],
IF(_xlpm.ref_val=_xlpm.db_val,"","!!"))</f>
        <v>#REF!</v>
      </c>
      <c r="J99" t="e">
        <f>_xlfn.LET(_xlpm.ref_val,INDEX(annuaire[prenom],MATCH(#REF!,annuaire[id],0)),
_xlpm.db_val,members[[#This Row],[first_name]],
IF(_xlpm.ref_val=_xlpm.db_val,"","!!"))</f>
        <v>#REF!</v>
      </c>
      <c r="K9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99" t="e">
        <f>_xlfn.LET(_xlpm.ref_val,INDEX(annuaire[pseudo_discord],MATCH(#REF!,annuaire[id],0)),
_xlpm.db_val,members[[#This Row],[discord]],
IF(_xlpm.ref_val=_xlpm.db_val,"","!!"))</f>
        <v>#REF!</v>
      </c>
    </row>
    <row r="100" spans="1:12" x14ac:dyDescent="0.25">
      <c r="A100">
        <v>99</v>
      </c>
      <c r="B100">
        <v>98</v>
      </c>
      <c r="D100" s="20">
        <v>46040.740520833337</v>
      </c>
      <c r="F100" t="s">
        <v>186</v>
      </c>
      <c r="G100" t="s">
        <v>185</v>
      </c>
      <c r="H100" s="1"/>
      <c r="I100" t="e">
        <f>_xlfn.LET(_xlpm.ref_val,INDEX(annuaire[nom],MATCH(#REF!,annuaire[id],0)),
_xlpm.db_val,members[[#This Row],[last_name]],
IF(_xlpm.ref_val=_xlpm.db_val,"","!!"))</f>
        <v>#REF!</v>
      </c>
      <c r="J100" t="e">
        <f>_xlfn.LET(_xlpm.ref_val,INDEX(annuaire[prenom],MATCH(#REF!,annuaire[id],0)),
_xlpm.db_val,members[[#This Row],[first_name]],
IF(_xlpm.ref_val=_xlpm.db_val,"","!!"))</f>
        <v>#REF!</v>
      </c>
      <c r="K10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0" t="e">
        <f>_xlfn.LET(_xlpm.ref_val,INDEX(annuaire[pseudo_discord],MATCH(#REF!,annuaire[id],0)),
_xlpm.db_val,members[[#This Row],[discord]],
IF(_xlpm.ref_val=_xlpm.db_val,"","!!"))</f>
        <v>#REF!</v>
      </c>
    </row>
    <row r="101" spans="1:12" x14ac:dyDescent="0.25">
      <c r="A101">
        <v>100</v>
      </c>
      <c r="B101">
        <v>99</v>
      </c>
      <c r="C101" t="s">
        <v>436</v>
      </c>
      <c r="D101" s="20">
        <v>46040.740520833337</v>
      </c>
      <c r="F101" t="s">
        <v>184</v>
      </c>
      <c r="G101" t="s">
        <v>183</v>
      </c>
      <c r="H101" s="1">
        <v>34787</v>
      </c>
      <c r="I101" t="e">
        <f>_xlfn.LET(_xlpm.ref_val,INDEX(annuaire[nom],MATCH(#REF!,annuaire[id],0)),
_xlpm.db_val,members[[#This Row],[last_name]],
IF(_xlpm.ref_val=_xlpm.db_val,"","!!"))</f>
        <v>#REF!</v>
      </c>
      <c r="J101" t="e">
        <f>_xlfn.LET(_xlpm.ref_val,INDEX(annuaire[prenom],MATCH(#REF!,annuaire[id],0)),
_xlpm.db_val,members[[#This Row],[first_name]],
IF(_xlpm.ref_val=_xlpm.db_val,"","!!"))</f>
        <v>#REF!</v>
      </c>
      <c r="K10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1" t="e">
        <f>_xlfn.LET(_xlpm.ref_val,INDEX(annuaire[pseudo_discord],MATCH(#REF!,annuaire[id],0)),
_xlpm.db_val,members[[#This Row],[discord]],
IF(_xlpm.ref_val=_xlpm.db_val,"","!!"))</f>
        <v>#REF!</v>
      </c>
    </row>
    <row r="102" spans="1:12" x14ac:dyDescent="0.25">
      <c r="A102">
        <v>101</v>
      </c>
      <c r="B102">
        <v>101</v>
      </c>
      <c r="C102" t="s">
        <v>413</v>
      </c>
      <c r="D102" s="20">
        <v>46040.740520833337</v>
      </c>
      <c r="F102" t="s">
        <v>52</v>
      </c>
      <c r="G102" t="s">
        <v>268</v>
      </c>
      <c r="H102" s="1">
        <v>34751</v>
      </c>
      <c r="I102" t="e">
        <f>_xlfn.LET(_xlpm.ref_val,INDEX(annuaire[nom],MATCH(#REF!,annuaire[id],0)),
_xlpm.db_val,members[[#This Row],[last_name]],
IF(_xlpm.ref_val=_xlpm.db_val,"","!!"))</f>
        <v>#REF!</v>
      </c>
      <c r="J102" t="e">
        <f>_xlfn.LET(_xlpm.ref_val,INDEX(annuaire[prenom],MATCH(#REF!,annuaire[id],0)),
_xlpm.db_val,members[[#This Row],[first_name]],
IF(_xlpm.ref_val=_xlpm.db_val,"","!!"))</f>
        <v>#REF!</v>
      </c>
      <c r="K10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2" t="e">
        <f>_xlfn.LET(_xlpm.ref_val,INDEX(annuaire[pseudo_discord],MATCH(#REF!,annuaire[id],0)),
_xlpm.db_val,members[[#This Row],[discord]],
IF(_xlpm.ref_val=_xlpm.db_val,"","!!"))</f>
        <v>#REF!</v>
      </c>
    </row>
    <row r="103" spans="1:12" x14ac:dyDescent="0.25">
      <c r="A103">
        <v>102</v>
      </c>
      <c r="B103">
        <v>102</v>
      </c>
      <c r="C103" t="s">
        <v>307</v>
      </c>
      <c r="D103" s="20">
        <v>46040.740520833337</v>
      </c>
      <c r="F103" t="s">
        <v>189</v>
      </c>
      <c r="G103" t="s">
        <v>271</v>
      </c>
      <c r="H103" s="1">
        <v>30047</v>
      </c>
      <c r="I103" t="e">
        <f>_xlfn.LET(_xlpm.ref_val,INDEX(annuaire[nom],MATCH(#REF!,annuaire[id],0)),
_xlpm.db_val,members[[#This Row],[last_name]],
IF(_xlpm.ref_val=_xlpm.db_val,"","!!"))</f>
        <v>#REF!</v>
      </c>
      <c r="J103" t="e">
        <f>_xlfn.LET(_xlpm.ref_val,INDEX(annuaire[prenom],MATCH(#REF!,annuaire[id],0)),
_xlpm.db_val,members[[#This Row],[first_name]],
IF(_xlpm.ref_val=_xlpm.db_val,"","!!"))</f>
        <v>#REF!</v>
      </c>
      <c r="K10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3" t="e">
        <f>_xlfn.LET(_xlpm.ref_val,INDEX(annuaire[pseudo_discord],MATCH(#REF!,annuaire[id],0)),
_xlpm.db_val,members[[#This Row],[discord]],
IF(_xlpm.ref_val=_xlpm.db_val,"","!!"))</f>
        <v>#REF!</v>
      </c>
    </row>
    <row r="104" spans="1:12" x14ac:dyDescent="0.25">
      <c r="A104">
        <v>103</v>
      </c>
      <c r="B104">
        <v>100</v>
      </c>
      <c r="C104" t="s">
        <v>439</v>
      </c>
      <c r="D104" s="20">
        <v>46040.740520833337</v>
      </c>
      <c r="F104" t="s">
        <v>273</v>
      </c>
      <c r="G104" t="s">
        <v>272</v>
      </c>
      <c r="H104" s="1">
        <v>34954</v>
      </c>
      <c r="I104" t="e">
        <f>_xlfn.LET(_xlpm.ref_val,INDEX(annuaire[nom],MATCH(#REF!,annuaire[id],0)),
_xlpm.db_val,members[[#This Row],[last_name]],
IF(_xlpm.ref_val=_xlpm.db_val,"","!!"))</f>
        <v>#REF!</v>
      </c>
      <c r="J104" t="e">
        <f>_xlfn.LET(_xlpm.ref_val,INDEX(annuaire[prenom],MATCH(#REF!,annuaire[id],0)),
_xlpm.db_val,members[[#This Row],[first_name]],
IF(_xlpm.ref_val=_xlpm.db_val,"","!!"))</f>
        <v>#REF!</v>
      </c>
      <c r="K10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4" t="e">
        <f>_xlfn.LET(_xlpm.ref_val,INDEX(annuaire[pseudo_discord],MATCH(#REF!,annuaire[id],0)),
_xlpm.db_val,members[[#This Row],[discord]],
IF(_xlpm.ref_val=_xlpm.db_val,"","!!"))</f>
        <v>#REF!</v>
      </c>
    </row>
    <row r="105" spans="1:12" x14ac:dyDescent="0.25">
      <c r="A105">
        <v>104</v>
      </c>
      <c r="B105">
        <v>103</v>
      </c>
      <c r="C105" t="s">
        <v>308</v>
      </c>
      <c r="D105" s="20">
        <v>46040.740520833337</v>
      </c>
      <c r="F105" t="s">
        <v>105</v>
      </c>
      <c r="G105" t="s">
        <v>277</v>
      </c>
      <c r="H105" s="1">
        <v>34190</v>
      </c>
      <c r="I105" t="e">
        <f>_xlfn.LET(_xlpm.ref_val,INDEX(annuaire[nom],MATCH(#REF!,annuaire[id],0)),
_xlpm.db_val,members[[#This Row],[last_name]],
IF(_xlpm.ref_val=_xlpm.db_val,"","!!"))</f>
        <v>#REF!</v>
      </c>
      <c r="J105" t="e">
        <f>_xlfn.LET(_xlpm.ref_val,INDEX(annuaire[prenom],MATCH(#REF!,annuaire[id],0)),
_xlpm.db_val,members[[#This Row],[first_name]],
IF(_xlpm.ref_val=_xlpm.db_val,"","!!"))</f>
        <v>#REF!</v>
      </c>
      <c r="K10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5" t="e">
        <f>_xlfn.LET(_xlpm.ref_val,INDEX(annuaire[pseudo_discord],MATCH(#REF!,annuaire[id],0)),
_xlpm.db_val,members[[#This Row],[discord]],
IF(_xlpm.ref_val=_xlpm.db_val,"","!!"))</f>
        <v>#REF!</v>
      </c>
    </row>
    <row r="106" spans="1:12" x14ac:dyDescent="0.25">
      <c r="A106">
        <v>105</v>
      </c>
      <c r="B106">
        <v>104</v>
      </c>
      <c r="D106" s="20">
        <v>46040.740520833337</v>
      </c>
      <c r="F106" t="s">
        <v>156</v>
      </c>
      <c r="G106" t="s">
        <v>310</v>
      </c>
      <c r="H106" s="1">
        <v>34231</v>
      </c>
      <c r="I106" t="e">
        <f>_xlfn.LET(_xlpm.ref_val,INDEX(annuaire[nom],MATCH(#REF!,annuaire[id],0)),
_xlpm.db_val,members[[#This Row],[last_name]],
IF(_xlpm.ref_val=_xlpm.db_val,"","!!"))</f>
        <v>#REF!</v>
      </c>
      <c r="J106" t="e">
        <f>_xlfn.LET(_xlpm.ref_val,INDEX(annuaire[prenom],MATCH(#REF!,annuaire[id],0)),
_xlpm.db_val,members[[#This Row],[first_name]],
IF(_xlpm.ref_val=_xlpm.db_val,"","!!"))</f>
        <v>#REF!</v>
      </c>
      <c r="K10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6" t="e">
        <f>_xlfn.LET(_xlpm.ref_val,INDEX(annuaire[pseudo_discord],MATCH(#REF!,annuaire[id],0)),
_xlpm.db_val,members[[#This Row],[discord]],
IF(_xlpm.ref_val=_xlpm.db_val,"","!!"))</f>
        <v>#REF!</v>
      </c>
    </row>
    <row r="107" spans="1:12" x14ac:dyDescent="0.25">
      <c r="A107">
        <v>106</v>
      </c>
      <c r="B107">
        <v>105</v>
      </c>
      <c r="C107" t="s">
        <v>312</v>
      </c>
      <c r="D107" s="20">
        <v>46040.740520833337</v>
      </c>
      <c r="F107" t="s">
        <v>186</v>
      </c>
      <c r="G107" t="s">
        <v>311</v>
      </c>
      <c r="H107" s="1">
        <v>32502</v>
      </c>
      <c r="I107" t="e">
        <f>_xlfn.LET(_xlpm.ref_val,INDEX(annuaire[nom],MATCH(#REF!,annuaire[id],0)),
_xlpm.db_val,members[[#This Row],[last_name]],
IF(_xlpm.ref_val=_xlpm.db_val,"","!!"))</f>
        <v>#REF!</v>
      </c>
      <c r="J107" t="e">
        <f>_xlfn.LET(_xlpm.ref_val,INDEX(annuaire[prenom],MATCH(#REF!,annuaire[id],0)),
_xlpm.db_val,members[[#This Row],[first_name]],
IF(_xlpm.ref_val=_xlpm.db_val,"","!!"))</f>
        <v>#REF!</v>
      </c>
      <c r="K10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7" t="e">
        <f>_xlfn.LET(_xlpm.ref_val,INDEX(annuaire[pseudo_discord],MATCH(#REF!,annuaire[id],0)),
_xlpm.db_val,members[[#This Row],[discord]],
IF(_xlpm.ref_val=_xlpm.db_val,"","!!"))</f>
        <v>#REF!</v>
      </c>
    </row>
    <row r="108" spans="1:12" x14ac:dyDescent="0.25">
      <c r="A108">
        <v>107</v>
      </c>
      <c r="B108">
        <v>106</v>
      </c>
      <c r="D108" s="20">
        <v>46040.740520833337</v>
      </c>
      <c r="F108" t="s">
        <v>36</v>
      </c>
      <c r="G108" t="s">
        <v>127</v>
      </c>
      <c r="H108" s="1">
        <v>35304</v>
      </c>
      <c r="I108" t="e">
        <f>_xlfn.LET(_xlpm.ref_val,INDEX(annuaire[nom],MATCH(#REF!,annuaire[id],0)),
_xlpm.db_val,members[[#This Row],[last_name]],
IF(_xlpm.ref_val=_xlpm.db_val,"","!!"))</f>
        <v>#REF!</v>
      </c>
      <c r="J108" t="e">
        <f>_xlfn.LET(_xlpm.ref_val,INDEX(annuaire[prenom],MATCH(#REF!,annuaire[id],0)),
_xlpm.db_val,members[[#This Row],[first_name]],
IF(_xlpm.ref_val=_xlpm.db_val,"","!!"))</f>
        <v>#REF!</v>
      </c>
      <c r="K10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8" t="e">
        <f>_xlfn.LET(_xlpm.ref_val,INDEX(annuaire[pseudo_discord],MATCH(#REF!,annuaire[id],0)),
_xlpm.db_val,members[[#This Row],[discord]],
IF(_xlpm.ref_val=_xlpm.db_val,"","!!"))</f>
        <v>#REF!</v>
      </c>
    </row>
    <row r="109" spans="1:12" x14ac:dyDescent="0.25">
      <c r="A109">
        <v>108</v>
      </c>
      <c r="B109">
        <v>107</v>
      </c>
      <c r="C109" t="s">
        <v>402</v>
      </c>
      <c r="D109" s="20">
        <v>46040.740520833337</v>
      </c>
      <c r="F109" t="s">
        <v>270</v>
      </c>
      <c r="G109" t="s">
        <v>269</v>
      </c>
      <c r="H109" s="1">
        <v>29779</v>
      </c>
      <c r="I109" t="e">
        <f>_xlfn.LET(_xlpm.ref_val,INDEX(annuaire[nom],MATCH(#REF!,annuaire[id],0)),
_xlpm.db_val,members[[#This Row],[last_name]],
IF(_xlpm.ref_val=_xlpm.db_val,"","!!"))</f>
        <v>#REF!</v>
      </c>
      <c r="J109" t="e">
        <f>_xlfn.LET(_xlpm.ref_val,INDEX(annuaire[prenom],MATCH(#REF!,annuaire[id],0)),
_xlpm.db_val,members[[#This Row],[first_name]],
IF(_xlpm.ref_val=_xlpm.db_val,"","!!"))</f>
        <v>#REF!</v>
      </c>
      <c r="K10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09" t="e">
        <f>_xlfn.LET(_xlpm.ref_val,INDEX(annuaire[pseudo_discord],MATCH(#REF!,annuaire[id],0)),
_xlpm.db_val,members[[#This Row],[discord]],
IF(_xlpm.ref_val=_xlpm.db_val,"","!!"))</f>
        <v>#REF!</v>
      </c>
    </row>
    <row r="110" spans="1:12" x14ac:dyDescent="0.25">
      <c r="A110">
        <v>109</v>
      </c>
      <c r="B110">
        <v>108</v>
      </c>
      <c r="C110" t="s">
        <v>408</v>
      </c>
      <c r="D110" s="20">
        <v>46040.740520833337</v>
      </c>
      <c r="F110" t="s">
        <v>275</v>
      </c>
      <c r="G110" t="s">
        <v>274</v>
      </c>
      <c r="H110" s="1"/>
      <c r="I110" t="e">
        <f>_xlfn.LET(_xlpm.ref_val,INDEX(annuaire[nom],MATCH(#REF!,annuaire[id],0)),
_xlpm.db_val,members[[#This Row],[last_name]],
IF(_xlpm.ref_val=_xlpm.db_val,"","!!"))</f>
        <v>#REF!</v>
      </c>
      <c r="J110" t="e">
        <f>_xlfn.LET(_xlpm.ref_val,INDEX(annuaire[prenom],MATCH(#REF!,annuaire[id],0)),
_xlpm.db_val,members[[#This Row],[first_name]],
IF(_xlpm.ref_val=_xlpm.db_val,"","!!"))</f>
        <v>#REF!</v>
      </c>
      <c r="K11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0" t="e">
        <f>_xlfn.LET(_xlpm.ref_val,INDEX(annuaire[pseudo_discord],MATCH(#REF!,annuaire[id],0)),
_xlpm.db_val,members[[#This Row],[discord]],
IF(_xlpm.ref_val=_xlpm.db_val,"","!!"))</f>
        <v>#REF!</v>
      </c>
    </row>
    <row r="111" spans="1:12" x14ac:dyDescent="0.25">
      <c r="A111">
        <v>110</v>
      </c>
      <c r="B111">
        <v>109</v>
      </c>
      <c r="C111" t="s">
        <v>412</v>
      </c>
      <c r="D111" s="20">
        <v>46040.740520833337</v>
      </c>
      <c r="F111" t="s">
        <v>16</v>
      </c>
      <c r="G111" t="s">
        <v>276</v>
      </c>
      <c r="H111" s="1">
        <v>33271</v>
      </c>
      <c r="I111" t="e">
        <f>_xlfn.LET(_xlpm.ref_val,INDEX(annuaire[nom],MATCH(#REF!,annuaire[id],0)),
_xlpm.db_val,members[[#This Row],[last_name]],
IF(_xlpm.ref_val=_xlpm.db_val,"","!!"))</f>
        <v>#REF!</v>
      </c>
      <c r="J111" t="e">
        <f>_xlfn.LET(_xlpm.ref_val,INDEX(annuaire[prenom],MATCH(#REF!,annuaire[id],0)),
_xlpm.db_val,members[[#This Row],[first_name]],
IF(_xlpm.ref_val=_xlpm.db_val,"","!!"))</f>
        <v>#REF!</v>
      </c>
      <c r="K11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1" t="e">
        <f>_xlfn.LET(_xlpm.ref_val,INDEX(annuaire[pseudo_discord],MATCH(#REF!,annuaire[id],0)),
_xlpm.db_val,members[[#This Row],[discord]],
IF(_xlpm.ref_val=_xlpm.db_val,"","!!"))</f>
        <v>#REF!</v>
      </c>
    </row>
    <row r="112" spans="1:12" x14ac:dyDescent="0.25">
      <c r="A112">
        <v>111</v>
      </c>
      <c r="B112">
        <v>110</v>
      </c>
      <c r="C112" t="s">
        <v>410</v>
      </c>
      <c r="D112" s="20">
        <v>46040.740520833337</v>
      </c>
      <c r="F112" t="s">
        <v>48</v>
      </c>
      <c r="G112" t="s">
        <v>278</v>
      </c>
      <c r="H112" s="1">
        <v>27983</v>
      </c>
      <c r="I112" t="e">
        <f>_xlfn.LET(_xlpm.ref_val,INDEX(annuaire[nom],MATCH(#REF!,annuaire[id],0)),
_xlpm.db_val,members[[#This Row],[last_name]],
IF(_xlpm.ref_val=_xlpm.db_val,"","!!"))</f>
        <v>#REF!</v>
      </c>
      <c r="J112" t="e">
        <f>_xlfn.LET(_xlpm.ref_val,INDEX(annuaire[prenom],MATCH(#REF!,annuaire[id],0)),
_xlpm.db_val,members[[#This Row],[first_name]],
IF(_xlpm.ref_val=_xlpm.db_val,"","!!"))</f>
        <v>#REF!</v>
      </c>
      <c r="K11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2" t="e">
        <f>_xlfn.LET(_xlpm.ref_val,INDEX(annuaire[pseudo_discord],MATCH(#REF!,annuaire[id],0)),
_xlpm.db_val,members[[#This Row],[discord]],
IF(_xlpm.ref_val=_xlpm.db_val,"","!!"))</f>
        <v>#REF!</v>
      </c>
    </row>
    <row r="113" spans="1:12" x14ac:dyDescent="0.25">
      <c r="A113">
        <v>112</v>
      </c>
      <c r="B113">
        <v>112</v>
      </c>
      <c r="D113" s="20">
        <v>46040.740520833337</v>
      </c>
      <c r="F113" t="s">
        <v>20</v>
      </c>
      <c r="G113" t="s">
        <v>393</v>
      </c>
      <c r="H113" s="1">
        <v>26900</v>
      </c>
      <c r="I113" t="e">
        <f>_xlfn.LET(_xlpm.ref_val,INDEX(annuaire[nom],MATCH(#REF!,annuaire[id],0)),
_xlpm.db_val,members[[#This Row],[last_name]],
IF(_xlpm.ref_val=_xlpm.db_val,"","!!"))</f>
        <v>#REF!</v>
      </c>
      <c r="J113" t="e">
        <f>_xlfn.LET(_xlpm.ref_val,INDEX(annuaire[prenom],MATCH(#REF!,annuaire[id],0)),
_xlpm.db_val,members[[#This Row],[first_name]],
IF(_xlpm.ref_val=_xlpm.db_val,"","!!"))</f>
        <v>#REF!</v>
      </c>
      <c r="K11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3" t="e">
        <f>_xlfn.LET(_xlpm.ref_val,INDEX(annuaire[pseudo_discord],MATCH(#REF!,annuaire[id],0)),
_xlpm.db_val,members[[#This Row],[discord]],
IF(_xlpm.ref_val=_xlpm.db_val,"","!!"))</f>
        <v>#REF!</v>
      </c>
    </row>
    <row r="114" spans="1:12" x14ac:dyDescent="0.25">
      <c r="A114">
        <v>113</v>
      </c>
      <c r="B114">
        <v>113</v>
      </c>
      <c r="C114" t="s">
        <v>452</v>
      </c>
      <c r="D114" s="20">
        <v>46040.740520833337</v>
      </c>
      <c r="F114" t="s">
        <v>107</v>
      </c>
      <c r="G114" t="s">
        <v>394</v>
      </c>
      <c r="H114" s="1">
        <v>32636</v>
      </c>
      <c r="I114" t="e">
        <f>_xlfn.LET(_xlpm.ref_val,INDEX(annuaire[nom],MATCH(#REF!,annuaire[id],0)),
_xlpm.db_val,members[[#This Row],[last_name]],
IF(_xlpm.ref_val=_xlpm.db_val,"","!!"))</f>
        <v>#REF!</v>
      </c>
      <c r="J114" t="e">
        <f>_xlfn.LET(_xlpm.ref_val,INDEX(annuaire[prenom],MATCH(#REF!,annuaire[id],0)),
_xlpm.db_val,members[[#This Row],[first_name]],
IF(_xlpm.ref_val=_xlpm.db_val,"","!!"))</f>
        <v>#REF!</v>
      </c>
      <c r="K11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4" t="e">
        <f>_xlfn.LET(_xlpm.ref_val,INDEX(annuaire[pseudo_discord],MATCH(#REF!,annuaire[id],0)),
_xlpm.db_val,members[[#This Row],[discord]],
IF(_xlpm.ref_val=_xlpm.db_val,"","!!"))</f>
        <v>#REF!</v>
      </c>
    </row>
    <row r="115" spans="1:12" x14ac:dyDescent="0.25">
      <c r="A115">
        <v>114</v>
      </c>
      <c r="B115">
        <v>114</v>
      </c>
      <c r="D115" s="20">
        <v>46040.740520833337</v>
      </c>
      <c r="F115" t="s">
        <v>192</v>
      </c>
      <c r="G115" t="s">
        <v>395</v>
      </c>
      <c r="H115" s="1"/>
      <c r="I115" t="e">
        <f>_xlfn.LET(_xlpm.ref_val,INDEX(annuaire[nom],MATCH(#REF!,annuaire[id],0)),
_xlpm.db_val,members[[#This Row],[last_name]],
IF(_xlpm.ref_val=_xlpm.db_val,"","!!"))</f>
        <v>#REF!</v>
      </c>
      <c r="J115" t="e">
        <f>_xlfn.LET(_xlpm.ref_val,INDEX(annuaire[prenom],MATCH(#REF!,annuaire[id],0)),
_xlpm.db_val,members[[#This Row],[first_name]],
IF(_xlpm.ref_val=_xlpm.db_val,"","!!"))</f>
        <v>#REF!</v>
      </c>
      <c r="K11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5" t="e">
        <f>_xlfn.LET(_xlpm.ref_val,INDEX(annuaire[pseudo_discord],MATCH(#REF!,annuaire[id],0)),
_xlpm.db_val,members[[#This Row],[discord]],
IF(_xlpm.ref_val=_xlpm.db_val,"","!!"))</f>
        <v>#REF!</v>
      </c>
    </row>
    <row r="116" spans="1:12" x14ac:dyDescent="0.25">
      <c r="A116">
        <v>115</v>
      </c>
      <c r="B116">
        <v>115</v>
      </c>
      <c r="D116" s="20">
        <v>46040.740520833337</v>
      </c>
      <c r="F116" t="s">
        <v>397</v>
      </c>
      <c r="G116" t="s">
        <v>396</v>
      </c>
      <c r="H116" s="1"/>
      <c r="I116" t="e">
        <f>_xlfn.LET(_xlpm.ref_val,INDEX(annuaire[nom],MATCH(#REF!,annuaire[id],0)),
_xlpm.db_val,members[[#This Row],[last_name]],
IF(_xlpm.ref_val=_xlpm.db_val,"","!!"))</f>
        <v>#REF!</v>
      </c>
      <c r="J116" t="e">
        <f>_xlfn.LET(_xlpm.ref_val,INDEX(annuaire[prenom],MATCH(#REF!,annuaire[id],0)),
_xlpm.db_val,members[[#This Row],[first_name]],
IF(_xlpm.ref_val=_xlpm.db_val,"","!!"))</f>
        <v>#REF!</v>
      </c>
      <c r="K11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6" t="e">
        <f>_xlfn.LET(_xlpm.ref_val,INDEX(annuaire[pseudo_discord],MATCH(#REF!,annuaire[id],0)),
_xlpm.db_val,members[[#This Row],[discord]],
IF(_xlpm.ref_val=_xlpm.db_val,"","!!"))</f>
        <v>#REF!</v>
      </c>
    </row>
    <row r="117" spans="1:12" x14ac:dyDescent="0.25">
      <c r="A117">
        <v>116</v>
      </c>
      <c r="B117">
        <v>116</v>
      </c>
      <c r="D117" s="20">
        <v>46040.740520833337</v>
      </c>
      <c r="F117" t="s">
        <v>304</v>
      </c>
      <c r="G117" t="s">
        <v>398</v>
      </c>
      <c r="H117" s="1"/>
      <c r="I117" t="e">
        <f>_xlfn.LET(_xlpm.ref_val,INDEX(annuaire[nom],MATCH(#REF!,annuaire[id],0)),
_xlpm.db_val,members[[#This Row],[last_name]],
IF(_xlpm.ref_val=_xlpm.db_val,"","!!"))</f>
        <v>#REF!</v>
      </c>
      <c r="J117" t="e">
        <f>_xlfn.LET(_xlpm.ref_val,INDEX(annuaire[prenom],MATCH(#REF!,annuaire[id],0)),
_xlpm.db_val,members[[#This Row],[first_name]],
IF(_xlpm.ref_val=_xlpm.db_val,"","!!"))</f>
        <v>#REF!</v>
      </c>
      <c r="K11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7" t="e">
        <f>_xlfn.LET(_xlpm.ref_val,INDEX(annuaire[pseudo_discord],MATCH(#REF!,annuaire[id],0)),
_xlpm.db_val,members[[#This Row],[discord]],
IF(_xlpm.ref_val=_xlpm.db_val,"","!!"))</f>
        <v>#REF!</v>
      </c>
    </row>
    <row r="118" spans="1:12" x14ac:dyDescent="0.25">
      <c r="A118">
        <v>117</v>
      </c>
      <c r="B118">
        <v>117</v>
      </c>
      <c r="D118" s="20">
        <v>46040.740520833337</v>
      </c>
      <c r="F118" t="s">
        <v>400</v>
      </c>
      <c r="G118" t="s">
        <v>399</v>
      </c>
      <c r="H118" s="1"/>
      <c r="I118" t="e">
        <f>_xlfn.LET(_xlpm.ref_val,INDEX(annuaire[nom],MATCH(#REF!,annuaire[id],0)),
_xlpm.db_val,members[[#This Row],[last_name]],
IF(_xlpm.ref_val=_xlpm.db_val,"","!!"))</f>
        <v>#REF!</v>
      </c>
      <c r="J118" t="e">
        <f>_xlfn.LET(_xlpm.ref_val,INDEX(annuaire[prenom],MATCH(#REF!,annuaire[id],0)),
_xlpm.db_val,members[[#This Row],[first_name]],
IF(_xlpm.ref_val=_xlpm.db_val,"","!!"))</f>
        <v>#REF!</v>
      </c>
      <c r="K11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8" t="e">
        <f>_xlfn.LET(_xlpm.ref_val,INDEX(annuaire[pseudo_discord],MATCH(#REF!,annuaire[id],0)),
_xlpm.db_val,members[[#This Row],[discord]],
IF(_xlpm.ref_val=_xlpm.db_val,"","!!"))</f>
        <v>#REF!</v>
      </c>
    </row>
    <row r="119" spans="1:12" x14ac:dyDescent="0.25">
      <c r="A119">
        <v>118</v>
      </c>
      <c r="B119">
        <v>111</v>
      </c>
      <c r="C119" t="s">
        <v>403</v>
      </c>
      <c r="D119" s="20">
        <v>46040.740520833337</v>
      </c>
      <c r="F119" t="s">
        <v>71</v>
      </c>
      <c r="G119" t="s">
        <v>401</v>
      </c>
      <c r="H119" s="1">
        <v>28601</v>
      </c>
      <c r="I119" t="e">
        <f>_xlfn.LET(_xlpm.ref_val,INDEX(annuaire[nom],MATCH(#REF!,annuaire[id],0)),
_xlpm.db_val,members[[#This Row],[last_name]],
IF(_xlpm.ref_val=_xlpm.db_val,"","!!"))</f>
        <v>#REF!</v>
      </c>
      <c r="J119" t="e">
        <f>_xlfn.LET(_xlpm.ref_val,INDEX(annuaire[prenom],MATCH(#REF!,annuaire[id],0)),
_xlpm.db_val,members[[#This Row],[first_name]],
IF(_xlpm.ref_val=_xlpm.db_val,"","!!"))</f>
        <v>#REF!</v>
      </c>
      <c r="K11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19" t="e">
        <f>_xlfn.LET(_xlpm.ref_val,INDEX(annuaire[pseudo_discord],MATCH(#REF!,annuaire[id],0)),
_xlpm.db_val,members[[#This Row],[discord]],
IF(_xlpm.ref_val=_xlpm.db_val,"","!!"))</f>
        <v>#REF!</v>
      </c>
    </row>
    <row r="120" spans="1:12" x14ac:dyDescent="0.25">
      <c r="A120">
        <v>119</v>
      </c>
      <c r="B120">
        <v>118</v>
      </c>
      <c r="D120" s="20">
        <v>46040.740520833337</v>
      </c>
      <c r="F120" t="s">
        <v>119</v>
      </c>
      <c r="G120" t="s">
        <v>405</v>
      </c>
      <c r="H120" s="1"/>
      <c r="I120" t="e">
        <f>_xlfn.LET(_xlpm.ref_val,INDEX(annuaire[nom],MATCH(#REF!,annuaire[id],0)),
_xlpm.db_val,members[[#This Row],[last_name]],
IF(_xlpm.ref_val=_xlpm.db_val,"","!!"))</f>
        <v>#REF!</v>
      </c>
      <c r="J120" t="e">
        <f>_xlfn.LET(_xlpm.ref_val,INDEX(annuaire[prenom],MATCH(#REF!,annuaire[id],0)),
_xlpm.db_val,members[[#This Row],[first_name]],
IF(_xlpm.ref_val=_xlpm.db_val,"","!!"))</f>
        <v>#REF!</v>
      </c>
      <c r="K12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0" t="e">
        <f>_xlfn.LET(_xlpm.ref_val,INDEX(annuaire[pseudo_discord],MATCH(#REF!,annuaire[id],0)),
_xlpm.db_val,members[[#This Row],[discord]],
IF(_xlpm.ref_val=_xlpm.db_val,"","!!"))</f>
        <v>#REF!</v>
      </c>
    </row>
    <row r="121" spans="1:12" x14ac:dyDescent="0.25">
      <c r="A121">
        <v>120</v>
      </c>
      <c r="B121">
        <v>119</v>
      </c>
      <c r="C121" t="s">
        <v>458</v>
      </c>
      <c r="D121" s="20">
        <v>46040.740520833337</v>
      </c>
      <c r="F121" t="s">
        <v>88</v>
      </c>
      <c r="G121" t="s">
        <v>406</v>
      </c>
      <c r="H121" s="1"/>
      <c r="I121" t="e">
        <f>_xlfn.LET(_xlpm.ref_val,INDEX(annuaire[nom],MATCH(#REF!,annuaire[id],0)),
_xlpm.db_val,members[[#This Row],[last_name]],
IF(_xlpm.ref_val=_xlpm.db_val,"","!!"))</f>
        <v>#REF!</v>
      </c>
      <c r="J121" t="e">
        <f>_xlfn.LET(_xlpm.ref_val,INDEX(annuaire[prenom],MATCH(#REF!,annuaire[id],0)),
_xlpm.db_val,members[[#This Row],[first_name]],
IF(_xlpm.ref_val=_xlpm.db_val,"","!!"))</f>
        <v>#REF!</v>
      </c>
      <c r="K12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1" t="e">
        <f>_xlfn.LET(_xlpm.ref_val,INDEX(annuaire[pseudo_discord],MATCH(#REF!,annuaire[id],0)),
_xlpm.db_val,members[[#This Row],[discord]],
IF(_xlpm.ref_val=_xlpm.db_val,"","!!"))</f>
        <v>#REF!</v>
      </c>
    </row>
    <row r="122" spans="1:12" x14ac:dyDescent="0.25">
      <c r="A122">
        <v>121</v>
      </c>
      <c r="B122">
        <v>120</v>
      </c>
      <c r="D122" s="20">
        <v>46040.740520833337</v>
      </c>
      <c r="F122" t="s">
        <v>140</v>
      </c>
      <c r="G122" t="s">
        <v>435</v>
      </c>
      <c r="H122" s="1"/>
      <c r="I122" t="e">
        <f>_xlfn.LET(_xlpm.ref_val,INDEX(annuaire[nom],MATCH(#REF!,annuaire[id],0)),
_xlpm.db_val,members[[#This Row],[last_name]],
IF(_xlpm.ref_val=_xlpm.db_val,"","!!"))</f>
        <v>#REF!</v>
      </c>
      <c r="J122" t="e">
        <f>_xlfn.LET(_xlpm.ref_val,INDEX(annuaire[prenom],MATCH(#REF!,annuaire[id],0)),
_xlpm.db_val,members[[#This Row],[first_name]],
IF(_xlpm.ref_val=_xlpm.db_val,"","!!"))</f>
        <v>#REF!</v>
      </c>
      <c r="K12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2" t="e">
        <f>_xlfn.LET(_xlpm.ref_val,INDEX(annuaire[pseudo_discord],MATCH(#REF!,annuaire[id],0)),
_xlpm.db_val,members[[#This Row],[discord]],
IF(_xlpm.ref_val=_xlpm.db_val,"","!!"))</f>
        <v>#REF!</v>
      </c>
    </row>
    <row r="123" spans="1:12" x14ac:dyDescent="0.25">
      <c r="A123">
        <v>122</v>
      </c>
      <c r="B123">
        <v>121</v>
      </c>
      <c r="D123" s="20">
        <v>46040.740520833337</v>
      </c>
      <c r="F123" t="s">
        <v>149</v>
      </c>
      <c r="G123" t="s">
        <v>115</v>
      </c>
      <c r="H123" s="1"/>
      <c r="I123" t="e">
        <f>_xlfn.LET(_xlpm.ref_val,INDEX(annuaire[nom],MATCH(#REF!,annuaire[id],0)),
_xlpm.db_val,members[[#This Row],[last_name]],
IF(_xlpm.ref_val=_xlpm.db_val,"","!!"))</f>
        <v>#REF!</v>
      </c>
      <c r="J123" t="e">
        <f>_xlfn.LET(_xlpm.ref_val,INDEX(annuaire[prenom],MATCH(#REF!,annuaire[id],0)),
_xlpm.db_val,members[[#This Row],[first_name]],
IF(_xlpm.ref_val=_xlpm.db_val,"","!!"))</f>
        <v>#REF!</v>
      </c>
      <c r="K12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3" t="e">
        <f>_xlfn.LET(_xlpm.ref_val,INDEX(annuaire[pseudo_discord],MATCH(#REF!,annuaire[id],0)),
_xlpm.db_val,members[[#This Row],[discord]],
IF(_xlpm.ref_val=_xlpm.db_val,"","!!"))</f>
        <v>#REF!</v>
      </c>
    </row>
    <row r="124" spans="1:12" x14ac:dyDescent="0.25">
      <c r="A124">
        <v>123</v>
      </c>
      <c r="B124">
        <v>122</v>
      </c>
      <c r="C124" t="s">
        <v>457</v>
      </c>
      <c r="D124" s="20">
        <v>46040.740520833337</v>
      </c>
      <c r="F124" t="s">
        <v>114</v>
      </c>
      <c r="G124" t="s">
        <v>113</v>
      </c>
      <c r="H124" s="1">
        <v>33356</v>
      </c>
      <c r="I124" t="e">
        <f>_xlfn.LET(_xlpm.ref_val,INDEX(annuaire[nom],MATCH(#REF!,annuaire[id],0)),
_xlpm.db_val,members[[#This Row],[last_name]],
IF(_xlpm.ref_val=_xlpm.db_val,"","!!"))</f>
        <v>#REF!</v>
      </c>
      <c r="J124" t="e">
        <f>_xlfn.LET(_xlpm.ref_val,INDEX(annuaire[prenom],MATCH(#REF!,annuaire[id],0)),
_xlpm.db_val,members[[#This Row],[first_name]],
IF(_xlpm.ref_val=_xlpm.db_val,"","!!"))</f>
        <v>#REF!</v>
      </c>
      <c r="K12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4" t="e">
        <f>_xlfn.LET(_xlpm.ref_val,INDEX(annuaire[pseudo_discord],MATCH(#REF!,annuaire[id],0)),
_xlpm.db_val,members[[#This Row],[discord]],
IF(_xlpm.ref_val=_xlpm.db_val,"","!!"))</f>
        <v>#REF!</v>
      </c>
    </row>
    <row r="125" spans="1:12" x14ac:dyDescent="0.25">
      <c r="A125">
        <v>124</v>
      </c>
      <c r="B125">
        <v>123</v>
      </c>
      <c r="D125" s="20">
        <v>46040.740520833337</v>
      </c>
      <c r="F125" t="s">
        <v>35</v>
      </c>
      <c r="G125" t="s">
        <v>442</v>
      </c>
      <c r="H125" s="1"/>
      <c r="I125" t="e">
        <f>_xlfn.LET(_xlpm.ref_val,INDEX(annuaire[nom],MATCH(#REF!,annuaire[id],0)),
_xlpm.db_val,members[[#This Row],[last_name]],
IF(_xlpm.ref_val=_xlpm.db_val,"","!!"))</f>
        <v>#REF!</v>
      </c>
      <c r="J125" t="e">
        <f>_xlfn.LET(_xlpm.ref_val,INDEX(annuaire[prenom],MATCH(#REF!,annuaire[id],0)),
_xlpm.db_val,members[[#This Row],[first_name]],
IF(_xlpm.ref_val=_xlpm.db_val,"","!!"))</f>
        <v>#REF!</v>
      </c>
      <c r="K12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5" t="e">
        <f>_xlfn.LET(_xlpm.ref_val,INDEX(annuaire[pseudo_discord],MATCH(#REF!,annuaire[id],0)),
_xlpm.db_val,members[[#This Row],[discord]],
IF(_xlpm.ref_val=_xlpm.db_val,"","!!"))</f>
        <v>#REF!</v>
      </c>
    </row>
    <row r="126" spans="1:12" x14ac:dyDescent="0.25">
      <c r="A126">
        <v>125</v>
      </c>
      <c r="B126">
        <v>124</v>
      </c>
      <c r="D126" s="20">
        <v>46040.740520833337</v>
      </c>
      <c r="F126" t="s">
        <v>53</v>
      </c>
      <c r="G126" t="s">
        <v>453</v>
      </c>
      <c r="H126" s="1"/>
      <c r="I126" t="e">
        <f>_xlfn.LET(_xlpm.ref_val,INDEX(annuaire[nom],MATCH(#REF!,annuaire[id],0)),
_xlpm.db_val,members[[#This Row],[last_name]],
IF(_xlpm.ref_val=_xlpm.db_val,"","!!"))</f>
        <v>#REF!</v>
      </c>
      <c r="J126" t="e">
        <f>_xlfn.LET(_xlpm.ref_val,INDEX(annuaire[prenom],MATCH(#REF!,annuaire[id],0)),
_xlpm.db_val,members[[#This Row],[first_name]],
IF(_xlpm.ref_val=_xlpm.db_val,"","!!"))</f>
        <v>#REF!</v>
      </c>
      <c r="K12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6" t="e">
        <f>_xlfn.LET(_xlpm.ref_val,INDEX(annuaire[pseudo_discord],MATCH(#REF!,annuaire[id],0)),
_xlpm.db_val,members[[#This Row],[discord]],
IF(_xlpm.ref_val=_xlpm.db_val,"","!!"))</f>
        <v>#REF!</v>
      </c>
    </row>
    <row r="127" spans="1:12" x14ac:dyDescent="0.25">
      <c r="A127">
        <v>126</v>
      </c>
      <c r="B127">
        <v>125</v>
      </c>
      <c r="C127" t="s">
        <v>462</v>
      </c>
      <c r="D127" s="20">
        <v>46040.740520833337</v>
      </c>
      <c r="F127" t="s">
        <v>455</v>
      </c>
      <c r="G127" t="s">
        <v>454</v>
      </c>
      <c r="H127" s="1">
        <v>27621</v>
      </c>
      <c r="I127" t="e">
        <f>_xlfn.LET(_xlpm.ref_val,INDEX(annuaire[nom],MATCH(#REF!,annuaire[id],0)),
_xlpm.db_val,members[[#This Row],[last_name]],
IF(_xlpm.ref_val=_xlpm.db_val,"","!!"))</f>
        <v>#REF!</v>
      </c>
      <c r="J127" t="e">
        <f>_xlfn.LET(_xlpm.ref_val,INDEX(annuaire[prenom],MATCH(#REF!,annuaire[id],0)),
_xlpm.db_val,members[[#This Row],[first_name]],
IF(_xlpm.ref_val=_xlpm.db_val,"","!!"))</f>
        <v>#REF!</v>
      </c>
      <c r="K12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7" t="e">
        <f>_xlfn.LET(_xlpm.ref_val,INDEX(annuaire[pseudo_discord],MATCH(#REF!,annuaire[id],0)),
_xlpm.db_val,members[[#This Row],[discord]],
IF(_xlpm.ref_val=_xlpm.db_val,"","!!"))</f>
        <v>#REF!</v>
      </c>
    </row>
    <row r="128" spans="1:12" x14ac:dyDescent="0.25">
      <c r="A128">
        <v>127</v>
      </c>
      <c r="B128">
        <v>126</v>
      </c>
      <c r="D128" s="20">
        <v>46040.740520833337</v>
      </c>
      <c r="F128" t="s">
        <v>154</v>
      </c>
      <c r="G128" t="s">
        <v>454</v>
      </c>
      <c r="H128" s="1">
        <v>19500</v>
      </c>
      <c r="I128" t="e">
        <f>_xlfn.LET(_xlpm.ref_val,INDEX(annuaire[nom],MATCH(#REF!,annuaire[id],0)),
_xlpm.db_val,members[[#This Row],[last_name]],
IF(_xlpm.ref_val=_xlpm.db_val,"","!!"))</f>
        <v>#REF!</v>
      </c>
      <c r="J128" t="e">
        <f>_xlfn.LET(_xlpm.ref_val,INDEX(annuaire[prenom],MATCH(#REF!,annuaire[id],0)),
_xlpm.db_val,members[[#This Row],[first_name]],
IF(_xlpm.ref_val=_xlpm.db_val,"","!!"))</f>
        <v>#REF!</v>
      </c>
      <c r="K12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8" t="e">
        <f>_xlfn.LET(_xlpm.ref_val,INDEX(annuaire[pseudo_discord],MATCH(#REF!,annuaire[id],0)),
_xlpm.db_val,members[[#This Row],[discord]],
IF(_xlpm.ref_val=_xlpm.db_val,"","!!"))</f>
        <v>#REF!</v>
      </c>
    </row>
    <row r="129" spans="1:12" x14ac:dyDescent="0.25">
      <c r="A129">
        <v>128</v>
      </c>
      <c r="B129">
        <v>127</v>
      </c>
      <c r="D129" s="20">
        <v>46040.740520833337</v>
      </c>
      <c r="F129" t="s">
        <v>103</v>
      </c>
      <c r="G129" t="s">
        <v>463</v>
      </c>
      <c r="H129" s="1"/>
      <c r="I129" t="e">
        <f>_xlfn.LET(_xlpm.ref_val,INDEX(annuaire[nom],MATCH(#REF!,annuaire[id],0)),
_xlpm.db_val,members[[#This Row],[last_name]],
IF(_xlpm.ref_val=_xlpm.db_val,"","!!"))</f>
        <v>#REF!</v>
      </c>
      <c r="J129" t="e">
        <f>_xlfn.LET(_xlpm.ref_val,INDEX(annuaire[prenom],MATCH(#REF!,annuaire[id],0)),
_xlpm.db_val,members[[#This Row],[first_name]],
IF(_xlpm.ref_val=_xlpm.db_val,"","!!"))</f>
        <v>#REF!</v>
      </c>
      <c r="K12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29" t="e">
        <f>_xlfn.LET(_xlpm.ref_val,INDEX(annuaire[pseudo_discord],MATCH(#REF!,annuaire[id],0)),
_xlpm.db_val,members[[#This Row],[discord]],
IF(_xlpm.ref_val=_xlpm.db_val,"","!!"))</f>
        <v>#REF!</v>
      </c>
    </row>
    <row r="130" spans="1:12" x14ac:dyDescent="0.25">
      <c r="A130">
        <v>129</v>
      </c>
      <c r="B130">
        <v>128</v>
      </c>
      <c r="C130" t="s">
        <v>464</v>
      </c>
      <c r="D130" s="20">
        <v>46040.740520833337</v>
      </c>
      <c r="F130" t="s">
        <v>86</v>
      </c>
      <c r="G130" t="s">
        <v>466</v>
      </c>
      <c r="H130" s="1"/>
      <c r="I130" t="e">
        <f>_xlfn.LET(_xlpm.ref_val,INDEX(annuaire[nom],MATCH(#REF!,annuaire[id],0)),
_xlpm.db_val,members[[#This Row],[last_name]],
IF(_xlpm.ref_val=_xlpm.db_val,"","!!"))</f>
        <v>#REF!</v>
      </c>
      <c r="J130" t="e">
        <f>_xlfn.LET(_xlpm.ref_val,INDEX(annuaire[prenom],MATCH(#REF!,annuaire[id],0)),
_xlpm.db_val,members[[#This Row],[first_name]],
IF(_xlpm.ref_val=_xlpm.db_val,"","!!"))</f>
        <v>#REF!</v>
      </c>
      <c r="K13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0" t="e">
        <f>_xlfn.LET(_xlpm.ref_val,INDEX(annuaire[pseudo_discord],MATCH(#REF!,annuaire[id],0)),
_xlpm.db_val,members[[#This Row],[discord]],
IF(_xlpm.ref_val=_xlpm.db_val,"","!!"))</f>
        <v>#REF!</v>
      </c>
    </row>
    <row r="131" spans="1:12" x14ac:dyDescent="0.25">
      <c r="A131">
        <v>130</v>
      </c>
      <c r="B131">
        <v>129</v>
      </c>
      <c r="C131" t="s">
        <v>471</v>
      </c>
      <c r="D131" s="20">
        <v>46040.740520833337</v>
      </c>
      <c r="F131" t="s">
        <v>116</v>
      </c>
      <c r="G131" t="s">
        <v>467</v>
      </c>
      <c r="H131" s="1"/>
      <c r="I131" t="e">
        <f>_xlfn.LET(_xlpm.ref_val,INDEX(annuaire[nom],MATCH(#REF!,annuaire[id],0)),
_xlpm.db_val,members[[#This Row],[last_name]],
IF(_xlpm.ref_val=_xlpm.db_val,"","!!"))</f>
        <v>#REF!</v>
      </c>
      <c r="J131" t="e">
        <f>_xlfn.LET(_xlpm.ref_val,INDEX(annuaire[prenom],MATCH(#REF!,annuaire[id],0)),
_xlpm.db_val,members[[#This Row],[first_name]],
IF(_xlpm.ref_val=_xlpm.db_val,"","!!"))</f>
        <v>#REF!</v>
      </c>
      <c r="K13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1" t="e">
        <f>_xlfn.LET(_xlpm.ref_val,INDEX(annuaire[pseudo_discord],MATCH(#REF!,annuaire[id],0)),
_xlpm.db_val,members[[#This Row],[discord]],
IF(_xlpm.ref_val=_xlpm.db_val,"","!!"))</f>
        <v>#REF!</v>
      </c>
    </row>
    <row r="132" spans="1:12" x14ac:dyDescent="0.25">
      <c r="A132">
        <v>131</v>
      </c>
      <c r="B132">
        <v>130</v>
      </c>
      <c r="C132" t="s">
        <v>472</v>
      </c>
      <c r="D132" s="20">
        <v>46040.740520833337</v>
      </c>
      <c r="F132" t="s">
        <v>469</v>
      </c>
      <c r="G132" t="s">
        <v>468</v>
      </c>
      <c r="H132" s="1">
        <v>32029</v>
      </c>
      <c r="I132" t="e">
        <f>_xlfn.LET(_xlpm.ref_val,INDEX(annuaire[nom],MATCH(#REF!,annuaire[id],0)),
_xlpm.db_val,members[[#This Row],[last_name]],
IF(_xlpm.ref_val=_xlpm.db_val,"","!!"))</f>
        <v>#REF!</v>
      </c>
      <c r="J132" t="e">
        <f>_xlfn.LET(_xlpm.ref_val,INDEX(annuaire[prenom],MATCH(#REF!,annuaire[id],0)),
_xlpm.db_val,members[[#This Row],[first_name]],
IF(_xlpm.ref_val=_xlpm.db_val,"","!!"))</f>
        <v>#REF!</v>
      </c>
      <c r="K13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2" t="e">
        <f>_xlfn.LET(_xlpm.ref_val,INDEX(annuaire[pseudo_discord],MATCH(#REF!,annuaire[id],0)),
_xlpm.db_val,members[[#This Row],[discord]],
IF(_xlpm.ref_val=_xlpm.db_val,"","!!"))</f>
        <v>#REF!</v>
      </c>
    </row>
    <row r="133" spans="1:12" x14ac:dyDescent="0.25">
      <c r="A133">
        <v>132</v>
      </c>
      <c r="B133">
        <v>132</v>
      </c>
      <c r="C133" t="s">
        <v>477</v>
      </c>
      <c r="D133" s="20">
        <v>46040.740520833337</v>
      </c>
      <c r="F133" t="s">
        <v>476</v>
      </c>
      <c r="G133" t="s">
        <v>475</v>
      </c>
      <c r="H133" s="1">
        <v>30815</v>
      </c>
      <c r="I133" t="e">
        <f>_xlfn.LET(_xlpm.ref_val,INDEX(annuaire[nom],MATCH(#REF!,annuaire[id],0)),
_xlpm.db_val,members[[#This Row],[last_name]],
IF(_xlpm.ref_val=_xlpm.db_val,"","!!"))</f>
        <v>#REF!</v>
      </c>
      <c r="J133" t="e">
        <f>_xlfn.LET(_xlpm.ref_val,INDEX(annuaire[prenom],MATCH(#REF!,annuaire[id],0)),
_xlpm.db_val,members[[#This Row],[first_name]],
IF(_xlpm.ref_val=_xlpm.db_val,"","!!"))</f>
        <v>#REF!</v>
      </c>
      <c r="K13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3" t="e">
        <f>_xlfn.LET(_xlpm.ref_val,INDEX(annuaire[pseudo_discord],MATCH(#REF!,annuaire[id],0)),
_xlpm.db_val,members[[#This Row],[discord]],
IF(_xlpm.ref_val=_xlpm.db_val,"","!!"))</f>
        <v>#REF!</v>
      </c>
    </row>
    <row r="134" spans="1:12" x14ac:dyDescent="0.25">
      <c r="A134">
        <v>133</v>
      </c>
      <c r="B134">
        <v>133</v>
      </c>
      <c r="D134" s="20">
        <v>46040.740520833337</v>
      </c>
      <c r="F134" t="s">
        <v>524</v>
      </c>
      <c r="G134" t="s">
        <v>523</v>
      </c>
      <c r="H134" s="1"/>
      <c r="I134" t="e">
        <f>_xlfn.LET(_xlpm.ref_val,INDEX(annuaire[nom],MATCH(#REF!,annuaire[id],0)),
_xlpm.db_val,members[[#This Row],[last_name]],
IF(_xlpm.ref_val=_xlpm.db_val,"","!!"))</f>
        <v>#REF!</v>
      </c>
      <c r="J134" t="e">
        <f>_xlfn.LET(_xlpm.ref_val,INDEX(annuaire[prenom],MATCH(#REF!,annuaire[id],0)),
_xlpm.db_val,members[[#This Row],[first_name]],
IF(_xlpm.ref_val=_xlpm.db_val,"","!!"))</f>
        <v>#REF!</v>
      </c>
      <c r="K13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4" t="e">
        <f>_xlfn.LET(_xlpm.ref_val,INDEX(annuaire[pseudo_discord],MATCH(#REF!,annuaire[id],0)),
_xlpm.db_val,members[[#This Row],[discord]],
IF(_xlpm.ref_val=_xlpm.db_val,"","!!"))</f>
        <v>#REF!</v>
      </c>
    </row>
    <row r="135" spans="1:12" x14ac:dyDescent="0.25">
      <c r="A135">
        <v>134</v>
      </c>
      <c r="B135">
        <v>134</v>
      </c>
      <c r="C135" t="s">
        <v>512</v>
      </c>
      <c r="D135" s="20">
        <v>46040.740520833337</v>
      </c>
      <c r="F135" t="s">
        <v>495</v>
      </c>
      <c r="G135" t="s">
        <v>494</v>
      </c>
      <c r="H135" s="1">
        <v>36136</v>
      </c>
      <c r="I135" t="e">
        <f>_xlfn.LET(_xlpm.ref_val,INDEX(annuaire[nom],MATCH(#REF!,annuaire[id],0)),
_xlpm.db_val,members[[#This Row],[last_name]],
IF(_xlpm.ref_val=_xlpm.db_val,"","!!"))</f>
        <v>#REF!</v>
      </c>
      <c r="J135" t="e">
        <f>_xlfn.LET(_xlpm.ref_val,INDEX(annuaire[prenom],MATCH(#REF!,annuaire[id],0)),
_xlpm.db_val,members[[#This Row],[first_name]],
IF(_xlpm.ref_val=_xlpm.db_val,"","!!"))</f>
        <v>#REF!</v>
      </c>
      <c r="K13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5" t="e">
        <f>_xlfn.LET(_xlpm.ref_val,INDEX(annuaire[pseudo_discord],MATCH(#REF!,annuaire[id],0)),
_xlpm.db_val,members[[#This Row],[discord]],
IF(_xlpm.ref_val=_xlpm.db_val,"","!!"))</f>
        <v>#REF!</v>
      </c>
    </row>
    <row r="136" spans="1:12" x14ac:dyDescent="0.25">
      <c r="A136">
        <v>135</v>
      </c>
      <c r="B136">
        <v>136</v>
      </c>
      <c r="C136" t="s">
        <v>503</v>
      </c>
      <c r="D136" s="20">
        <v>46040.740520833337</v>
      </c>
      <c r="F136" t="s">
        <v>106</v>
      </c>
      <c r="G136" t="s">
        <v>33</v>
      </c>
      <c r="H136" s="1"/>
      <c r="I136" t="e">
        <f>_xlfn.LET(_xlpm.ref_val,INDEX(annuaire[nom],MATCH(#REF!,annuaire[id],0)),
_xlpm.db_val,members[[#This Row],[last_name]],
IF(_xlpm.ref_val=_xlpm.db_val,"","!!"))</f>
        <v>#REF!</v>
      </c>
      <c r="J136" t="e">
        <f>_xlfn.LET(_xlpm.ref_val,INDEX(annuaire[prenom],MATCH(#REF!,annuaire[id],0)),
_xlpm.db_val,members[[#This Row],[first_name]],
IF(_xlpm.ref_val=_xlpm.db_val,"","!!"))</f>
        <v>#REF!</v>
      </c>
      <c r="K13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6" t="e">
        <f>_xlfn.LET(_xlpm.ref_val,INDEX(annuaire[pseudo_discord],MATCH(#REF!,annuaire[id],0)),
_xlpm.db_val,members[[#This Row],[discord]],
IF(_xlpm.ref_val=_xlpm.db_val,"","!!"))</f>
        <v>#REF!</v>
      </c>
    </row>
    <row r="137" spans="1:12" x14ac:dyDescent="0.25">
      <c r="A137">
        <v>136</v>
      </c>
      <c r="B137">
        <v>137</v>
      </c>
      <c r="C137" t="s">
        <v>599</v>
      </c>
      <c r="D137" s="20">
        <v>46040.740520833337</v>
      </c>
      <c r="F137" t="s">
        <v>522</v>
      </c>
      <c r="G137" t="s">
        <v>521</v>
      </c>
      <c r="H137" s="1">
        <v>37677</v>
      </c>
      <c r="I137" t="e">
        <f>_xlfn.LET(_xlpm.ref_val,INDEX(annuaire[nom],MATCH(#REF!,annuaire[id],0)),
_xlpm.db_val,members[[#This Row],[last_name]],
IF(_xlpm.ref_val=_xlpm.db_val,"","!!"))</f>
        <v>#REF!</v>
      </c>
      <c r="J137" t="e">
        <f>_xlfn.LET(_xlpm.ref_val,INDEX(annuaire[prenom],MATCH(#REF!,annuaire[id],0)),
_xlpm.db_val,members[[#This Row],[first_name]],
IF(_xlpm.ref_val=_xlpm.db_val,"","!!"))</f>
        <v>#REF!</v>
      </c>
      <c r="K13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7" t="e">
        <f>_xlfn.LET(_xlpm.ref_val,INDEX(annuaire[pseudo_discord],MATCH(#REF!,annuaire[id],0)),
_xlpm.db_val,members[[#This Row],[discord]],
IF(_xlpm.ref_val=_xlpm.db_val,"","!!"))</f>
        <v>#REF!</v>
      </c>
    </row>
    <row r="138" spans="1:12" x14ac:dyDescent="0.25">
      <c r="A138">
        <v>137</v>
      </c>
      <c r="B138">
        <v>138</v>
      </c>
      <c r="C138" t="s">
        <v>595</v>
      </c>
      <c r="D138" s="20">
        <v>46040.740520833337</v>
      </c>
      <c r="F138" t="s">
        <v>116</v>
      </c>
      <c r="G138" t="s">
        <v>482</v>
      </c>
      <c r="H138" s="1">
        <v>36107</v>
      </c>
      <c r="I138" t="e">
        <f>_xlfn.LET(_xlpm.ref_val,INDEX(annuaire[nom],MATCH(#REF!,annuaire[id],0)),
_xlpm.db_val,members[[#This Row],[last_name]],
IF(_xlpm.ref_val=_xlpm.db_val,"","!!"))</f>
        <v>#REF!</v>
      </c>
      <c r="J138" t="e">
        <f>_xlfn.LET(_xlpm.ref_val,INDEX(annuaire[prenom],MATCH(#REF!,annuaire[id],0)),
_xlpm.db_val,members[[#This Row],[first_name]],
IF(_xlpm.ref_val=_xlpm.db_val,"","!!"))</f>
        <v>#REF!</v>
      </c>
      <c r="K13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8" t="e">
        <f>_xlfn.LET(_xlpm.ref_val,INDEX(annuaire[pseudo_discord],MATCH(#REF!,annuaire[id],0)),
_xlpm.db_val,members[[#This Row],[discord]],
IF(_xlpm.ref_val=_xlpm.db_val,"","!!"))</f>
        <v>#REF!</v>
      </c>
    </row>
    <row r="139" spans="1:12" x14ac:dyDescent="0.25">
      <c r="A139">
        <v>138</v>
      </c>
      <c r="B139">
        <v>139</v>
      </c>
      <c r="C139" t="s">
        <v>588</v>
      </c>
      <c r="D139" s="20">
        <v>46040.740520833337</v>
      </c>
      <c r="F139" t="s">
        <v>135</v>
      </c>
      <c r="G139" t="s">
        <v>520</v>
      </c>
      <c r="H139" s="1"/>
      <c r="I139" t="e">
        <f>_xlfn.LET(_xlpm.ref_val,INDEX(annuaire[nom],MATCH(#REF!,annuaire[id],0)),
_xlpm.db_val,members[[#This Row],[last_name]],
IF(_xlpm.ref_val=_xlpm.db_val,"","!!"))</f>
        <v>#REF!</v>
      </c>
      <c r="J139" t="e">
        <f>_xlfn.LET(_xlpm.ref_val,INDEX(annuaire[prenom],MATCH(#REF!,annuaire[id],0)),
_xlpm.db_val,members[[#This Row],[first_name]],
IF(_xlpm.ref_val=_xlpm.db_val,"","!!"))</f>
        <v>#REF!</v>
      </c>
      <c r="K13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39" t="e">
        <f>_xlfn.LET(_xlpm.ref_val,INDEX(annuaire[pseudo_discord],MATCH(#REF!,annuaire[id],0)),
_xlpm.db_val,members[[#This Row],[discord]],
IF(_xlpm.ref_val=_xlpm.db_val,"","!!"))</f>
        <v>#REF!</v>
      </c>
    </row>
    <row r="140" spans="1:12" x14ac:dyDescent="0.25">
      <c r="A140">
        <v>139</v>
      </c>
      <c r="B140">
        <v>140</v>
      </c>
      <c r="C140" t="s">
        <v>601</v>
      </c>
      <c r="D140" s="20">
        <v>46040.740520833337</v>
      </c>
      <c r="F140" t="s">
        <v>304</v>
      </c>
      <c r="G140" t="s">
        <v>519</v>
      </c>
      <c r="H140" s="1">
        <v>31238</v>
      </c>
      <c r="I140" t="e">
        <f>_xlfn.LET(_xlpm.ref_val,INDEX(annuaire[nom],MATCH(#REF!,annuaire[id],0)),
_xlpm.db_val,members[[#This Row],[last_name]],
IF(_xlpm.ref_val=_xlpm.db_val,"","!!"))</f>
        <v>#REF!</v>
      </c>
      <c r="J140" t="e">
        <f>_xlfn.LET(_xlpm.ref_val,INDEX(annuaire[prenom],MATCH(#REF!,annuaire[id],0)),
_xlpm.db_val,members[[#This Row],[first_name]],
IF(_xlpm.ref_val=_xlpm.db_val,"","!!"))</f>
        <v>#REF!</v>
      </c>
      <c r="K14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0" t="e">
        <f>_xlfn.LET(_xlpm.ref_val,INDEX(annuaire[pseudo_discord],MATCH(#REF!,annuaire[id],0)),
_xlpm.db_val,members[[#This Row],[discord]],
IF(_xlpm.ref_val=_xlpm.db_val,"","!!"))</f>
        <v>#REF!</v>
      </c>
    </row>
    <row r="141" spans="1:12" x14ac:dyDescent="0.25">
      <c r="A141">
        <v>140</v>
      </c>
      <c r="B141">
        <v>131</v>
      </c>
      <c r="C141" t="s">
        <v>603</v>
      </c>
      <c r="D141" s="20">
        <v>46040.740520833337</v>
      </c>
      <c r="F141" t="s">
        <v>66</v>
      </c>
      <c r="G141" t="s">
        <v>480</v>
      </c>
      <c r="H141" s="1">
        <v>31654</v>
      </c>
      <c r="I141" t="e">
        <f>_xlfn.LET(_xlpm.ref_val,INDEX(annuaire[nom],MATCH(#REF!,annuaire[id],0)),
_xlpm.db_val,members[[#This Row],[last_name]],
IF(_xlpm.ref_val=_xlpm.db_val,"","!!"))</f>
        <v>#REF!</v>
      </c>
      <c r="J141" t="e">
        <f>_xlfn.LET(_xlpm.ref_val,INDEX(annuaire[prenom],MATCH(#REF!,annuaire[id],0)),
_xlpm.db_val,members[[#This Row],[first_name]],
IF(_xlpm.ref_val=_xlpm.db_val,"","!!"))</f>
        <v>#REF!</v>
      </c>
      <c r="K14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1" t="e">
        <f>_xlfn.LET(_xlpm.ref_val,INDEX(annuaire[pseudo_discord],MATCH(#REF!,annuaire[id],0)),
_xlpm.db_val,members[[#This Row],[discord]],
IF(_xlpm.ref_val=_xlpm.db_val,"","!!"))</f>
        <v>#REF!</v>
      </c>
    </row>
    <row r="142" spans="1:12" x14ac:dyDescent="0.25">
      <c r="A142">
        <v>141</v>
      </c>
      <c r="B142">
        <v>141</v>
      </c>
      <c r="C142" t="s">
        <v>649</v>
      </c>
      <c r="D142" s="20">
        <v>46040.740520833337</v>
      </c>
      <c r="F142" t="s">
        <v>487</v>
      </c>
      <c r="G142" t="s">
        <v>486</v>
      </c>
      <c r="H142" s="1">
        <v>20812</v>
      </c>
      <c r="I142" t="e">
        <f>_xlfn.LET(_xlpm.ref_val,INDEX(annuaire[nom],MATCH(#REF!,annuaire[id],0)),
_xlpm.db_val,members[[#This Row],[last_name]],
IF(_xlpm.ref_val=_xlpm.db_val,"","!!"))</f>
        <v>#REF!</v>
      </c>
      <c r="J142" t="e">
        <f>_xlfn.LET(_xlpm.ref_val,INDEX(annuaire[prenom],MATCH(#REF!,annuaire[id],0)),
_xlpm.db_val,members[[#This Row],[first_name]],
IF(_xlpm.ref_val=_xlpm.db_val,"","!!"))</f>
        <v>#REF!</v>
      </c>
      <c r="K14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2" t="e">
        <f>_xlfn.LET(_xlpm.ref_val,INDEX(annuaire[pseudo_discord],MATCH(#REF!,annuaire[id],0)),
_xlpm.db_val,members[[#This Row],[discord]],
IF(_xlpm.ref_val=_xlpm.db_val,"","!!"))</f>
        <v>#REF!</v>
      </c>
    </row>
    <row r="143" spans="1:12" x14ac:dyDescent="0.25">
      <c r="A143">
        <v>142</v>
      </c>
      <c r="B143">
        <v>142</v>
      </c>
      <c r="C143" t="s">
        <v>509</v>
      </c>
      <c r="D143" s="20">
        <v>46040.740520833337</v>
      </c>
      <c r="F143" t="s">
        <v>530</v>
      </c>
      <c r="G143" t="s">
        <v>78</v>
      </c>
      <c r="H143" s="1">
        <v>26256</v>
      </c>
      <c r="I143" t="e">
        <f>_xlfn.LET(_xlpm.ref_val,INDEX(annuaire[nom],MATCH(#REF!,annuaire[id],0)),
_xlpm.db_val,members[[#This Row],[last_name]],
IF(_xlpm.ref_val=_xlpm.db_val,"","!!"))</f>
        <v>#REF!</v>
      </c>
      <c r="J143" t="e">
        <f>_xlfn.LET(_xlpm.ref_val,INDEX(annuaire[prenom],MATCH(#REF!,annuaire[id],0)),
_xlpm.db_val,members[[#This Row],[first_name]],
IF(_xlpm.ref_val=_xlpm.db_val,"","!!"))</f>
        <v>#REF!</v>
      </c>
      <c r="K14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3" t="e">
        <f>_xlfn.LET(_xlpm.ref_val,INDEX(annuaire[pseudo_discord],MATCH(#REF!,annuaire[id],0)),
_xlpm.db_val,members[[#This Row],[discord]],
IF(_xlpm.ref_val=_xlpm.db_val,"","!!"))</f>
        <v>#REF!</v>
      </c>
    </row>
    <row r="144" spans="1:12" x14ac:dyDescent="0.25">
      <c r="A144">
        <v>143</v>
      </c>
      <c r="B144">
        <v>143</v>
      </c>
      <c r="C144" t="s">
        <v>548</v>
      </c>
      <c r="D144" s="20">
        <v>46040.740520833337</v>
      </c>
      <c r="F144" t="s">
        <v>55</v>
      </c>
      <c r="G144" t="s">
        <v>481</v>
      </c>
      <c r="H144" s="1"/>
      <c r="I144" t="e">
        <f>_xlfn.LET(_xlpm.ref_val,INDEX(annuaire[nom],MATCH(#REF!,annuaire[id],0)),
_xlpm.db_val,members[[#This Row],[last_name]],
IF(_xlpm.ref_val=_xlpm.db_val,"","!!"))</f>
        <v>#REF!</v>
      </c>
      <c r="J144" t="e">
        <f>_xlfn.LET(_xlpm.ref_val,INDEX(annuaire[prenom],MATCH(#REF!,annuaire[id],0)),
_xlpm.db_val,members[[#This Row],[first_name]],
IF(_xlpm.ref_val=_xlpm.db_val,"","!!"))</f>
        <v>#REF!</v>
      </c>
      <c r="K14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4" t="e">
        <f>_xlfn.LET(_xlpm.ref_val,INDEX(annuaire[pseudo_discord],MATCH(#REF!,annuaire[id],0)),
_xlpm.db_val,members[[#This Row],[discord]],
IF(_xlpm.ref_val=_xlpm.db_val,"","!!"))</f>
        <v>#REF!</v>
      </c>
    </row>
    <row r="145" spans="1:12" x14ac:dyDescent="0.25">
      <c r="A145">
        <v>144</v>
      </c>
      <c r="B145">
        <v>144</v>
      </c>
      <c r="D145" s="20">
        <v>46040.740520833337</v>
      </c>
      <c r="F145" t="s">
        <v>105</v>
      </c>
      <c r="G145" t="s">
        <v>577</v>
      </c>
      <c r="H145" s="1">
        <v>31950</v>
      </c>
      <c r="I145" t="e">
        <f>_xlfn.LET(_xlpm.ref_val,INDEX(annuaire[nom],MATCH(#REF!,annuaire[id],0)),
_xlpm.db_val,members[[#This Row],[last_name]],
IF(_xlpm.ref_val=_xlpm.db_val,"","!!"))</f>
        <v>#REF!</v>
      </c>
      <c r="J145" t="e">
        <f>_xlfn.LET(_xlpm.ref_val,INDEX(annuaire[prenom],MATCH(#REF!,annuaire[id],0)),
_xlpm.db_val,members[[#This Row],[first_name]],
IF(_xlpm.ref_val=_xlpm.db_val,"","!!"))</f>
        <v>#REF!</v>
      </c>
      <c r="K14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5" t="e">
        <f>_xlfn.LET(_xlpm.ref_val,INDEX(annuaire[pseudo_discord],MATCH(#REF!,annuaire[id],0)),
_xlpm.db_val,members[[#This Row],[discord]],
IF(_xlpm.ref_val=_xlpm.db_val,"","!!"))</f>
        <v>#REF!</v>
      </c>
    </row>
    <row r="146" spans="1:12" x14ac:dyDescent="0.25">
      <c r="A146">
        <v>145</v>
      </c>
      <c r="B146">
        <v>49</v>
      </c>
      <c r="C146" t="s">
        <v>549</v>
      </c>
      <c r="D146" s="20">
        <v>46040.740520833337</v>
      </c>
      <c r="F146" t="s">
        <v>552</v>
      </c>
      <c r="G146" t="s">
        <v>551</v>
      </c>
      <c r="H146" s="1">
        <v>33397</v>
      </c>
      <c r="I146" t="e">
        <f>_xlfn.LET(_xlpm.ref_val,INDEX(annuaire[nom],MATCH(#REF!,annuaire[id],0)),
_xlpm.db_val,members[[#This Row],[last_name]],
IF(_xlpm.ref_val=_xlpm.db_val,"","!!"))</f>
        <v>#REF!</v>
      </c>
      <c r="J146" t="e">
        <f>_xlfn.LET(_xlpm.ref_val,INDEX(annuaire[prenom],MATCH(#REF!,annuaire[id],0)),
_xlpm.db_val,members[[#This Row],[first_name]],
IF(_xlpm.ref_val=_xlpm.db_val,"","!!"))</f>
        <v>#REF!</v>
      </c>
      <c r="K14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6" t="e">
        <f>_xlfn.LET(_xlpm.ref_val,INDEX(annuaire[pseudo_discord],MATCH(#REF!,annuaire[id],0)),
_xlpm.db_val,members[[#This Row],[discord]],
IF(_xlpm.ref_val=_xlpm.db_val,"","!!"))</f>
        <v>#REF!</v>
      </c>
    </row>
    <row r="147" spans="1:12" x14ac:dyDescent="0.25">
      <c r="A147">
        <v>146</v>
      </c>
      <c r="B147">
        <v>145</v>
      </c>
      <c r="D147" s="20">
        <v>46040.740520833337</v>
      </c>
      <c r="F147" t="s">
        <v>140</v>
      </c>
      <c r="G147" t="s">
        <v>553</v>
      </c>
      <c r="H147" s="1"/>
      <c r="I147" t="e">
        <f>_xlfn.LET(_xlpm.ref_val,INDEX(annuaire[nom],MATCH(#REF!,annuaire[id],0)),
_xlpm.db_val,members[[#This Row],[last_name]],
IF(_xlpm.ref_val=_xlpm.db_val,"","!!"))</f>
        <v>#REF!</v>
      </c>
      <c r="J147" t="e">
        <f>_xlfn.LET(_xlpm.ref_val,INDEX(annuaire[prenom],MATCH(#REF!,annuaire[id],0)),
_xlpm.db_val,members[[#This Row],[first_name]],
IF(_xlpm.ref_val=_xlpm.db_val,"","!!"))</f>
        <v>#REF!</v>
      </c>
      <c r="K14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7" t="e">
        <f>_xlfn.LET(_xlpm.ref_val,INDEX(annuaire[pseudo_discord],MATCH(#REF!,annuaire[id],0)),
_xlpm.db_val,members[[#This Row],[discord]],
IF(_xlpm.ref_val=_xlpm.db_val,"","!!"))</f>
        <v>#REF!</v>
      </c>
    </row>
    <row r="148" spans="1:12" x14ac:dyDescent="0.25">
      <c r="A148">
        <v>147</v>
      </c>
      <c r="B148">
        <v>146</v>
      </c>
      <c r="C148" t="s">
        <v>505</v>
      </c>
      <c r="D148" s="20">
        <v>46040.740520833337</v>
      </c>
      <c r="F148" t="s">
        <v>484</v>
      </c>
      <c r="G148" t="s">
        <v>483</v>
      </c>
      <c r="H148" s="1">
        <v>33152</v>
      </c>
      <c r="I148" t="e">
        <f>_xlfn.LET(_xlpm.ref_val,INDEX(annuaire[nom],MATCH(#REF!,annuaire[id],0)),
_xlpm.db_val,members[[#This Row],[last_name]],
IF(_xlpm.ref_val=_xlpm.db_val,"","!!"))</f>
        <v>#REF!</v>
      </c>
      <c r="J148" t="e">
        <f>_xlfn.LET(_xlpm.ref_val,INDEX(annuaire[prenom],MATCH(#REF!,annuaire[id],0)),
_xlpm.db_val,members[[#This Row],[first_name]],
IF(_xlpm.ref_val=_xlpm.db_val,"","!!"))</f>
        <v>#REF!</v>
      </c>
      <c r="K14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8" t="e">
        <f>_xlfn.LET(_xlpm.ref_val,INDEX(annuaire[pseudo_discord],MATCH(#REF!,annuaire[id],0)),
_xlpm.db_val,members[[#This Row],[discord]],
IF(_xlpm.ref_val=_xlpm.db_val,"","!!"))</f>
        <v>#REF!</v>
      </c>
    </row>
    <row r="149" spans="1:12" x14ac:dyDescent="0.25">
      <c r="A149">
        <v>148</v>
      </c>
      <c r="B149">
        <v>147</v>
      </c>
      <c r="C149" t="s">
        <v>513</v>
      </c>
      <c r="D149" s="20">
        <v>46040.740520833337</v>
      </c>
      <c r="F149" t="s">
        <v>491</v>
      </c>
      <c r="G149" t="s">
        <v>490</v>
      </c>
      <c r="H149" s="1">
        <v>30281</v>
      </c>
      <c r="I149" t="e">
        <f>_xlfn.LET(_xlpm.ref_val,INDEX(annuaire[nom],MATCH(#REF!,annuaire[id],0)),
_xlpm.db_val,members[[#This Row],[last_name]],
IF(_xlpm.ref_val=_xlpm.db_val,"","!!"))</f>
        <v>#REF!</v>
      </c>
      <c r="J149" t="e">
        <f>_xlfn.LET(_xlpm.ref_val,INDEX(annuaire[prenom],MATCH(#REF!,annuaire[id],0)),
_xlpm.db_val,members[[#This Row],[first_name]],
IF(_xlpm.ref_val=_xlpm.db_val,"","!!"))</f>
        <v>#REF!</v>
      </c>
      <c r="K14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49" t="e">
        <f>_xlfn.LET(_xlpm.ref_val,INDEX(annuaire[pseudo_discord],MATCH(#REF!,annuaire[id],0)),
_xlpm.db_val,members[[#This Row],[discord]],
IF(_xlpm.ref_val=_xlpm.db_val,"","!!"))</f>
        <v>#REF!</v>
      </c>
    </row>
    <row r="150" spans="1:12" x14ac:dyDescent="0.25">
      <c r="A150">
        <v>149</v>
      </c>
      <c r="B150">
        <v>148</v>
      </c>
      <c r="D150" s="20">
        <v>46040.740520833337</v>
      </c>
      <c r="F150" t="s">
        <v>51</v>
      </c>
      <c r="G150" t="s">
        <v>49</v>
      </c>
      <c r="H150" s="1"/>
      <c r="I150" t="e">
        <f>_xlfn.LET(_xlpm.ref_val,INDEX(annuaire[nom],MATCH(#REF!,annuaire[id],0)),
_xlpm.db_val,members[[#This Row],[last_name]],
IF(_xlpm.ref_val=_xlpm.db_val,"","!!"))</f>
        <v>#REF!</v>
      </c>
      <c r="J150" t="e">
        <f>_xlfn.LET(_xlpm.ref_val,INDEX(annuaire[prenom],MATCH(#REF!,annuaire[id],0)),
_xlpm.db_val,members[[#This Row],[first_name]],
IF(_xlpm.ref_val=_xlpm.db_val,"","!!"))</f>
        <v>#REF!</v>
      </c>
      <c r="K15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0" t="e">
        <f>_xlfn.LET(_xlpm.ref_val,INDEX(annuaire[pseudo_discord],MATCH(#REF!,annuaire[id],0)),
_xlpm.db_val,members[[#This Row],[discord]],
IF(_xlpm.ref_val=_xlpm.db_val,"","!!"))</f>
        <v>#REF!</v>
      </c>
    </row>
    <row r="151" spans="1:12" x14ac:dyDescent="0.25">
      <c r="A151">
        <v>150</v>
      </c>
      <c r="B151">
        <v>149</v>
      </c>
      <c r="D151" s="20">
        <v>46040.740520833337</v>
      </c>
      <c r="F151" t="s">
        <v>50</v>
      </c>
      <c r="G151" t="s">
        <v>49</v>
      </c>
      <c r="H151" s="1"/>
      <c r="I151" t="e">
        <f>_xlfn.LET(_xlpm.ref_val,INDEX(annuaire[nom],MATCH(#REF!,annuaire[id],0)),
_xlpm.db_val,members[[#This Row],[last_name]],
IF(_xlpm.ref_val=_xlpm.db_val,"","!!"))</f>
        <v>#REF!</v>
      </c>
      <c r="J151" t="e">
        <f>_xlfn.LET(_xlpm.ref_val,INDEX(annuaire[prenom],MATCH(#REF!,annuaire[id],0)),
_xlpm.db_val,members[[#This Row],[first_name]],
IF(_xlpm.ref_val=_xlpm.db_val,"","!!"))</f>
        <v>#REF!</v>
      </c>
      <c r="K15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1" t="e">
        <f>_xlfn.LET(_xlpm.ref_val,INDEX(annuaire[pseudo_discord],MATCH(#REF!,annuaire[id],0)),
_xlpm.db_val,members[[#This Row],[discord]],
IF(_xlpm.ref_val=_xlpm.db_val,"","!!"))</f>
        <v>#REF!</v>
      </c>
    </row>
    <row r="152" spans="1:12" x14ac:dyDescent="0.25">
      <c r="A152">
        <v>151</v>
      </c>
      <c r="B152">
        <v>150</v>
      </c>
      <c r="D152" s="20">
        <v>46040.740520833337</v>
      </c>
      <c r="F152" t="s">
        <v>21</v>
      </c>
      <c r="G152" t="s">
        <v>485</v>
      </c>
      <c r="H152" s="1"/>
      <c r="I152" t="e">
        <f>_xlfn.LET(_xlpm.ref_val,INDEX(annuaire[nom],MATCH(#REF!,annuaire[id],0)),
_xlpm.db_val,members[[#This Row],[last_name]],
IF(_xlpm.ref_val=_xlpm.db_val,"","!!"))</f>
        <v>#REF!</v>
      </c>
      <c r="J152" t="e">
        <f>_xlfn.LET(_xlpm.ref_val,INDEX(annuaire[prenom],MATCH(#REF!,annuaire[id],0)),
_xlpm.db_val,members[[#This Row],[first_name]],
IF(_xlpm.ref_val=_xlpm.db_val,"","!!"))</f>
        <v>#REF!</v>
      </c>
      <c r="K15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2" t="e">
        <f>_xlfn.LET(_xlpm.ref_val,INDEX(annuaire[pseudo_discord],MATCH(#REF!,annuaire[id],0)),
_xlpm.db_val,members[[#This Row],[discord]],
IF(_xlpm.ref_val=_xlpm.db_val,"","!!"))</f>
        <v>#REF!</v>
      </c>
    </row>
    <row r="153" spans="1:12" x14ac:dyDescent="0.25">
      <c r="A153">
        <v>152</v>
      </c>
      <c r="C153" t="s">
        <v>629</v>
      </c>
      <c r="D153" s="20">
        <v>46040.740520833337</v>
      </c>
      <c r="H153" s="1"/>
      <c r="I153" t="e">
        <f>_xlfn.LET(_xlpm.ref_val,INDEX(annuaire[nom],MATCH(#REF!,annuaire[id],0)),
_xlpm.db_val,members[[#This Row],[last_name]],
IF(_xlpm.ref_val=_xlpm.db_val,"","!!"))</f>
        <v>#REF!</v>
      </c>
      <c r="J153" t="e">
        <f>_xlfn.LET(_xlpm.ref_val,INDEX(annuaire[prenom],MATCH(#REF!,annuaire[id],0)),
_xlpm.db_val,members[[#This Row],[first_name]],
IF(_xlpm.ref_val=_xlpm.db_val,"","!!"))</f>
        <v>#REF!</v>
      </c>
      <c r="K15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3" t="e">
        <f>_xlfn.LET(_xlpm.ref_val,INDEX(annuaire[pseudo_discord],MATCH(#REF!,annuaire[id],0)),
_xlpm.db_val,members[[#This Row],[discord]],
IF(_xlpm.ref_val=_xlpm.db_val,"","!!"))</f>
        <v>#REF!</v>
      </c>
    </row>
    <row r="154" spans="1:12" x14ac:dyDescent="0.25">
      <c r="A154">
        <v>153</v>
      </c>
      <c r="B154">
        <v>151</v>
      </c>
      <c r="C154" t="s">
        <v>583</v>
      </c>
      <c r="D154" s="20">
        <v>46040.740520833337</v>
      </c>
      <c r="F154" t="s">
        <v>489</v>
      </c>
      <c r="G154" t="s">
        <v>578</v>
      </c>
      <c r="H154" s="1">
        <v>26422</v>
      </c>
      <c r="I154" t="e">
        <f>_xlfn.LET(_xlpm.ref_val,INDEX(annuaire[nom],MATCH(#REF!,annuaire[id],0)),
_xlpm.db_val,members[[#This Row],[last_name]],
IF(_xlpm.ref_val=_xlpm.db_val,"","!!"))</f>
        <v>#REF!</v>
      </c>
      <c r="J154" t="e">
        <f>_xlfn.LET(_xlpm.ref_val,INDEX(annuaire[prenom],MATCH(#REF!,annuaire[id],0)),
_xlpm.db_val,members[[#This Row],[first_name]],
IF(_xlpm.ref_val=_xlpm.db_val,"","!!"))</f>
        <v>#REF!</v>
      </c>
      <c r="K15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4" t="e">
        <f>_xlfn.LET(_xlpm.ref_val,INDEX(annuaire[pseudo_discord],MATCH(#REF!,annuaire[id],0)),
_xlpm.db_val,members[[#This Row],[discord]],
IF(_xlpm.ref_val=_xlpm.db_val,"","!!"))</f>
        <v>#REF!</v>
      </c>
    </row>
    <row r="155" spans="1:12" x14ac:dyDescent="0.25">
      <c r="A155">
        <v>154</v>
      </c>
      <c r="B155">
        <v>152</v>
      </c>
      <c r="C155" t="s">
        <v>648</v>
      </c>
      <c r="D155" s="20">
        <v>46040.740520833337</v>
      </c>
      <c r="F155" t="s">
        <v>26</v>
      </c>
      <c r="G155" t="s">
        <v>578</v>
      </c>
      <c r="H155" s="1">
        <v>25541</v>
      </c>
      <c r="I155" t="e">
        <f>_xlfn.LET(_xlpm.ref_val,INDEX(annuaire[nom],MATCH(#REF!,annuaire[id],0)),
_xlpm.db_val,members[[#This Row],[last_name]],
IF(_xlpm.ref_val=_xlpm.db_val,"","!!"))</f>
        <v>#REF!</v>
      </c>
      <c r="J155" t="e">
        <f>_xlfn.LET(_xlpm.ref_val,INDEX(annuaire[prenom],MATCH(#REF!,annuaire[id],0)),
_xlpm.db_val,members[[#This Row],[first_name]],
IF(_xlpm.ref_val=_xlpm.db_val,"","!!"))</f>
        <v>#REF!</v>
      </c>
      <c r="K15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5" t="e">
        <f>_xlfn.LET(_xlpm.ref_val,INDEX(annuaire[pseudo_discord],MATCH(#REF!,annuaire[id],0)),
_xlpm.db_val,members[[#This Row],[discord]],
IF(_xlpm.ref_val=_xlpm.db_val,"","!!"))</f>
        <v>#REF!</v>
      </c>
    </row>
    <row r="156" spans="1:12" x14ac:dyDescent="0.25">
      <c r="A156">
        <v>155</v>
      </c>
      <c r="B156">
        <v>153</v>
      </c>
      <c r="C156" t="s">
        <v>515</v>
      </c>
      <c r="D156" s="20">
        <v>46040.740520833337</v>
      </c>
      <c r="F156" t="s">
        <v>166</v>
      </c>
      <c r="G156" t="s">
        <v>488</v>
      </c>
      <c r="H156" s="1"/>
      <c r="I156" t="e">
        <f>_xlfn.LET(_xlpm.ref_val,INDEX(annuaire[nom],MATCH(#REF!,annuaire[id],0)),
_xlpm.db_val,members[[#This Row],[last_name]],
IF(_xlpm.ref_val=_xlpm.db_val,"","!!"))</f>
        <v>#REF!</v>
      </c>
      <c r="J156" t="e">
        <f>_xlfn.LET(_xlpm.ref_val,INDEX(annuaire[prenom],MATCH(#REF!,annuaire[id],0)),
_xlpm.db_val,members[[#This Row],[first_name]],
IF(_xlpm.ref_val=_xlpm.db_val,"","!!"))</f>
        <v>#REF!</v>
      </c>
      <c r="K156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6" t="e">
        <f>_xlfn.LET(_xlpm.ref_val,INDEX(annuaire[pseudo_discord],MATCH(#REF!,annuaire[id],0)),
_xlpm.db_val,members[[#This Row],[discord]],
IF(_xlpm.ref_val=_xlpm.db_val,"","!!"))</f>
        <v>#REF!</v>
      </c>
    </row>
    <row r="157" spans="1:12" x14ac:dyDescent="0.25">
      <c r="A157">
        <v>156</v>
      </c>
      <c r="B157">
        <v>154</v>
      </c>
      <c r="C157" t="s">
        <v>581</v>
      </c>
      <c r="D157" s="20">
        <v>46040.740520833337</v>
      </c>
      <c r="F157" t="s">
        <v>88</v>
      </c>
      <c r="G157" t="s">
        <v>579</v>
      </c>
      <c r="H157" s="1"/>
      <c r="I157" t="e">
        <f>_xlfn.LET(_xlpm.ref_val,INDEX(annuaire[nom],MATCH(#REF!,annuaire[id],0)),
_xlpm.db_val,members[[#This Row],[last_name]],
IF(_xlpm.ref_val=_xlpm.db_val,"","!!"))</f>
        <v>#REF!</v>
      </c>
      <c r="J157" t="e">
        <f>_xlfn.LET(_xlpm.ref_val,INDEX(annuaire[prenom],MATCH(#REF!,annuaire[id],0)),
_xlpm.db_val,members[[#This Row],[first_name]],
IF(_xlpm.ref_val=_xlpm.db_val,"","!!"))</f>
        <v>#REF!</v>
      </c>
      <c r="K157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7" t="e">
        <f>_xlfn.LET(_xlpm.ref_val,INDEX(annuaire[pseudo_discord],MATCH(#REF!,annuaire[id],0)),
_xlpm.db_val,members[[#This Row],[discord]],
IF(_xlpm.ref_val=_xlpm.db_val,"","!!"))</f>
        <v>#REF!</v>
      </c>
    </row>
    <row r="158" spans="1:12" x14ac:dyDescent="0.25">
      <c r="A158">
        <v>157</v>
      </c>
      <c r="B158">
        <v>155</v>
      </c>
      <c r="D158" s="20">
        <v>46040.740520833337</v>
      </c>
      <c r="F158" t="s">
        <v>89</v>
      </c>
      <c r="G158" t="s">
        <v>580</v>
      </c>
      <c r="H158" s="1"/>
      <c r="I158" t="e">
        <f>_xlfn.LET(_xlpm.ref_val,INDEX(annuaire[nom],MATCH(#REF!,annuaire[id],0)),
_xlpm.db_val,members[[#This Row],[last_name]],
IF(_xlpm.ref_val=_xlpm.db_val,"","!!"))</f>
        <v>#REF!</v>
      </c>
      <c r="J158" t="e">
        <f>_xlfn.LET(_xlpm.ref_val,INDEX(annuaire[prenom],MATCH(#REF!,annuaire[id],0)),
_xlpm.db_val,members[[#This Row],[first_name]],
IF(_xlpm.ref_val=_xlpm.db_val,"","!!"))</f>
        <v>#REF!</v>
      </c>
      <c r="K158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8" t="e">
        <f>_xlfn.LET(_xlpm.ref_val,INDEX(annuaire[pseudo_discord],MATCH(#REF!,annuaire[id],0)),
_xlpm.db_val,members[[#This Row],[discord]],
IF(_xlpm.ref_val=_xlpm.db_val,"","!!"))</f>
        <v>#REF!</v>
      </c>
    </row>
    <row r="159" spans="1:12" x14ac:dyDescent="0.25">
      <c r="A159">
        <v>158</v>
      </c>
      <c r="B159">
        <v>156</v>
      </c>
      <c r="C159" t="s">
        <v>590</v>
      </c>
      <c r="D159" s="20">
        <v>46040.740520833337</v>
      </c>
      <c r="F159" t="s">
        <v>178</v>
      </c>
      <c r="G159" t="s">
        <v>600</v>
      </c>
      <c r="H159" s="1">
        <v>31302</v>
      </c>
      <c r="I159" t="e">
        <f>_xlfn.LET(_xlpm.ref_val,INDEX(annuaire[nom],MATCH(#REF!,annuaire[id],0)),
_xlpm.db_val,members[[#This Row],[last_name]],
IF(_xlpm.ref_val=_xlpm.db_val,"","!!"))</f>
        <v>#REF!</v>
      </c>
      <c r="J159" t="e">
        <f>_xlfn.LET(_xlpm.ref_val,INDEX(annuaire[prenom],MATCH(#REF!,annuaire[id],0)),
_xlpm.db_val,members[[#This Row],[first_name]],
IF(_xlpm.ref_val=_xlpm.db_val,"","!!"))</f>
        <v>#REF!</v>
      </c>
      <c r="K159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59" t="e">
        <f>_xlfn.LET(_xlpm.ref_val,INDEX(annuaire[pseudo_discord],MATCH(#REF!,annuaire[id],0)),
_xlpm.db_val,members[[#This Row],[discord]],
IF(_xlpm.ref_val=_xlpm.db_val,"","!!"))</f>
        <v>#REF!</v>
      </c>
    </row>
    <row r="160" spans="1:12" x14ac:dyDescent="0.25">
      <c r="A160">
        <v>159</v>
      </c>
      <c r="B160">
        <v>135</v>
      </c>
      <c r="C160" t="s">
        <v>605</v>
      </c>
      <c r="D160" s="20">
        <v>46040.740520833337</v>
      </c>
      <c r="F160" t="s">
        <v>199</v>
      </c>
      <c r="G160" t="s">
        <v>494</v>
      </c>
      <c r="H160" s="1">
        <v>37967</v>
      </c>
      <c r="I160" t="e">
        <f>_xlfn.LET(_xlpm.ref_val,INDEX(annuaire[nom],MATCH(#REF!,annuaire[id],0)),
_xlpm.db_val,members[[#This Row],[last_name]],
IF(_xlpm.ref_val=_xlpm.db_val,"","!!"))</f>
        <v>#REF!</v>
      </c>
      <c r="J160" t="e">
        <f>_xlfn.LET(_xlpm.ref_val,INDEX(annuaire[prenom],MATCH(#REF!,annuaire[id],0)),
_xlpm.db_val,members[[#This Row],[first_name]],
IF(_xlpm.ref_val=_xlpm.db_val,"","!!"))</f>
        <v>#REF!</v>
      </c>
      <c r="K160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60" t="e">
        <f>_xlfn.LET(_xlpm.ref_val,INDEX(annuaire[pseudo_discord],MATCH(#REF!,annuaire[id],0)),
_xlpm.db_val,members[[#This Row],[discord]],
IF(_xlpm.ref_val=_xlpm.db_val,"","!!"))</f>
        <v>#REF!</v>
      </c>
    </row>
    <row r="161" spans="1:12" x14ac:dyDescent="0.25">
      <c r="A161">
        <v>160</v>
      </c>
      <c r="B161">
        <v>157</v>
      </c>
      <c r="C161" t="s">
        <v>609</v>
      </c>
      <c r="D161" s="20">
        <v>46040.740520833337</v>
      </c>
      <c r="F161" t="s">
        <v>607</v>
      </c>
      <c r="G161" t="s">
        <v>606</v>
      </c>
      <c r="H161" s="1">
        <v>29850</v>
      </c>
      <c r="I161" t="e">
        <f>_xlfn.LET(_xlpm.ref_val,INDEX(annuaire[nom],MATCH(#REF!,annuaire[id],0)),
_xlpm.db_val,members[[#This Row],[last_name]],
IF(_xlpm.ref_val=_xlpm.db_val,"","!!"))</f>
        <v>#REF!</v>
      </c>
      <c r="J161" t="e">
        <f>_xlfn.LET(_xlpm.ref_val,INDEX(annuaire[prenom],MATCH(#REF!,annuaire[id],0)),
_xlpm.db_val,members[[#This Row],[first_name]],
IF(_xlpm.ref_val=_xlpm.db_val,"","!!"))</f>
        <v>#REF!</v>
      </c>
      <c r="K161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61" t="e">
        <f>_xlfn.LET(_xlpm.ref_val,INDEX(annuaire[pseudo_discord],MATCH(#REF!,annuaire[id],0)),
_xlpm.db_val,members[[#This Row],[discord]],
IF(_xlpm.ref_val=_xlpm.db_val,"","!!"))</f>
        <v>#REF!</v>
      </c>
    </row>
    <row r="162" spans="1:12" x14ac:dyDescent="0.25">
      <c r="A162">
        <v>161</v>
      </c>
      <c r="B162">
        <v>158</v>
      </c>
      <c r="C162" t="s">
        <v>635</v>
      </c>
      <c r="D162" s="20">
        <v>46040.740520833337</v>
      </c>
      <c r="F162" t="s">
        <v>493</v>
      </c>
      <c r="G162" t="s">
        <v>492</v>
      </c>
      <c r="H162" s="1">
        <v>32586</v>
      </c>
      <c r="I162" t="e">
        <f>_xlfn.LET(_xlpm.ref_val,INDEX(annuaire[nom],MATCH(#REF!,annuaire[id],0)),
_xlpm.db_val,members[[#This Row],[last_name]],
IF(_xlpm.ref_val=_xlpm.db_val,"","!!"))</f>
        <v>#REF!</v>
      </c>
      <c r="J162" t="e">
        <f>_xlfn.LET(_xlpm.ref_val,INDEX(annuaire[prenom],MATCH(#REF!,annuaire[id],0)),
_xlpm.db_val,members[[#This Row],[first_name]],
IF(_xlpm.ref_val=_xlpm.db_val,"","!!"))</f>
        <v>#REF!</v>
      </c>
      <c r="K162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62" t="e">
        <f>_xlfn.LET(_xlpm.ref_val,INDEX(annuaire[pseudo_discord],MATCH(#REF!,annuaire[id],0)),
_xlpm.db_val,members[[#This Row],[discord]],
IF(_xlpm.ref_val=_xlpm.db_val,"","!!"))</f>
        <v>#REF!</v>
      </c>
    </row>
    <row r="163" spans="1:12" x14ac:dyDescent="0.25">
      <c r="A163">
        <v>162</v>
      </c>
      <c r="B163">
        <v>159</v>
      </c>
      <c r="C163" t="s">
        <v>634</v>
      </c>
      <c r="D163" s="20">
        <v>46040.740520833337</v>
      </c>
      <c r="F163" t="s">
        <v>612</v>
      </c>
      <c r="G163" t="s">
        <v>611</v>
      </c>
      <c r="H163" s="1">
        <v>34627</v>
      </c>
      <c r="I163" t="e">
        <f>_xlfn.LET(_xlpm.ref_val,INDEX(annuaire[nom],MATCH(#REF!,annuaire[id],0)),
_xlpm.db_val,members[[#This Row],[last_name]],
IF(_xlpm.ref_val=_xlpm.db_val,"","!!"))</f>
        <v>#REF!</v>
      </c>
      <c r="J163" t="e">
        <f>_xlfn.LET(_xlpm.ref_val,INDEX(annuaire[prenom],MATCH(#REF!,annuaire[id],0)),
_xlpm.db_val,members[[#This Row],[first_name]],
IF(_xlpm.ref_val=_xlpm.db_val,"","!!"))</f>
        <v>#REF!</v>
      </c>
      <c r="K163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63" t="e">
        <f>_xlfn.LET(_xlpm.ref_val,INDEX(annuaire[pseudo_discord],MATCH(#REF!,annuaire[id],0)),
_xlpm.db_val,members[[#This Row],[discord]],
IF(_xlpm.ref_val=_xlpm.db_val,"","!!"))</f>
        <v>#REF!</v>
      </c>
    </row>
    <row r="164" spans="1:12" x14ac:dyDescent="0.25">
      <c r="A164">
        <v>163</v>
      </c>
      <c r="B164">
        <v>160</v>
      </c>
      <c r="D164" s="20">
        <v>46040.740520833337</v>
      </c>
      <c r="F164" t="s">
        <v>638</v>
      </c>
      <c r="G164" t="s">
        <v>637</v>
      </c>
      <c r="H164" s="1"/>
      <c r="I164" t="e">
        <f>_xlfn.LET(_xlpm.ref_val,INDEX(annuaire[nom],MATCH(#REF!,annuaire[id],0)),
_xlpm.db_val,members[[#This Row],[last_name]],
IF(_xlpm.ref_val=_xlpm.db_val,"","!!"))</f>
        <v>#REF!</v>
      </c>
      <c r="J164" t="e">
        <f>_xlfn.LET(_xlpm.ref_val,INDEX(annuaire[prenom],MATCH(#REF!,annuaire[id],0)),
_xlpm.db_val,members[[#This Row],[first_name]],
IF(_xlpm.ref_val=_xlpm.db_val,"","!!"))</f>
        <v>#REF!</v>
      </c>
      <c r="K164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64" t="e">
        <f>_xlfn.LET(_xlpm.ref_val,INDEX(annuaire[pseudo_discord],MATCH(#REF!,annuaire[id],0)),
_xlpm.db_val,members[[#This Row],[discord]],
IF(_xlpm.ref_val=_xlpm.db_val,"","!!"))</f>
        <v>#REF!</v>
      </c>
    </row>
    <row r="165" spans="1:12" x14ac:dyDescent="0.25">
      <c r="A165">
        <v>164</v>
      </c>
      <c r="B165">
        <v>161</v>
      </c>
      <c r="C165" t="s">
        <v>592</v>
      </c>
      <c r="D165" s="20">
        <v>46040.740520833337</v>
      </c>
      <c r="F165" t="s">
        <v>547</v>
      </c>
      <c r="G165" t="s">
        <v>22</v>
      </c>
      <c r="H165" s="1">
        <v>34833</v>
      </c>
      <c r="I165" t="e">
        <f>_xlfn.LET(_xlpm.ref_val,INDEX(annuaire[nom],MATCH(#REF!,annuaire[id],0)),
_xlpm.db_val,members[[#This Row],[last_name]],
IF(_xlpm.ref_val=_xlpm.db_val,"","!!"))</f>
        <v>#REF!</v>
      </c>
      <c r="J165" t="e">
        <f>_xlfn.LET(_xlpm.ref_val,INDEX(annuaire[prenom],MATCH(#REF!,annuaire[id],0)),
_xlpm.db_val,members[[#This Row],[first_name]],
IF(_xlpm.ref_val=_xlpm.db_val,"","!!"))</f>
        <v>#REF!</v>
      </c>
      <c r="K165" t="e">
        <f>_xlfn.LET(_xlpm.ref_val_raw,INDEX(annuaire[telephone],MATCH(#REF!,annuaire[id],0)),
_xlpm.ref_val,IF(_xlpm.ref_val_raw="",_xlpm.ref_val_raw,"(+33)" &amp; (_xlpm.ref_val_raw)),
_xlpm.db_val,#REF!,
IF(_xlpm.ref_val=_xlpm.db_val,"","!!"))</f>
        <v>#REF!</v>
      </c>
      <c r="L165" t="e">
        <f>_xlfn.LET(_xlpm.ref_val,INDEX(annuaire[pseudo_discord],MATCH(#REF!,annuaire[id],0)),
_xlpm.db_val,members[[#This Row],[discord]],
IF(_xlpm.ref_val=_xlpm.db_val,"","!!"))</f>
        <v>#REF!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D340CB91-ADB4-4522-827F-CB5AF4CCB60F}">
  <ds:schemaRefs/>
</ds:datastoreItem>
</file>

<file path=customXml/itemProps2.xml><?xml version="1.0" encoding="utf-8"?>
<ds:datastoreItem xmlns:ds="http://schemas.openxmlformats.org/officeDocument/2006/customXml" ds:itemID="{3641ECE4-84A7-47DE-8723-3766BEB6821A}">
  <ds:schemaRefs/>
</ds:datastoreItem>
</file>

<file path=customXml/itemProps3.xml><?xml version="1.0" encoding="utf-8"?>
<ds:datastoreItem xmlns:ds="http://schemas.openxmlformats.org/officeDocument/2006/customXml" ds:itemID="{CB3058EA-2350-429F-BD44-A7E9D25901BF}">
  <ds:schemaRefs/>
</ds:datastoreItem>
</file>

<file path=customXml/itemProps4.xml><?xml version="1.0" encoding="utf-8"?>
<ds:datastoreItem xmlns:ds="http://schemas.openxmlformats.org/officeDocument/2006/customXml" ds:itemID="{BAC655AA-4C0F-4E55-B0E9-F648E3AFD473}">
  <ds:schemaRefs/>
</ds:datastoreItem>
</file>

<file path=customXml/itemProps5.xml><?xml version="1.0" encoding="utf-8"?>
<ds:datastoreItem xmlns:ds="http://schemas.openxmlformats.org/officeDocument/2006/customXml" ds:itemID="{D94D8953-76A7-4451-B164-B103567CC66D}">
  <ds:schemaRefs/>
</ds:datastoreItem>
</file>

<file path=customXml/itemProps6.xml><?xml version="1.0" encoding="utf-8"?>
<ds:datastoreItem xmlns:ds="http://schemas.openxmlformats.org/officeDocument/2006/customXml" ds:itemID="{FE9A2535-22A3-438A-92C7-ADA1324AA7EE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B306A23C-8FB3-4EBF-9A95-1687C797087B}">
  <ds:schemaRefs/>
</ds:datastoreItem>
</file>

<file path=customXml/itemProps8.xml><?xml version="1.0" encoding="utf-8"?>
<ds:datastoreItem xmlns:ds="http://schemas.openxmlformats.org/officeDocument/2006/customXml" ds:itemID="{90AF917D-B71E-4123-8D2E-5BDCBE5BE2CA}">
  <ds:schemaRefs>
    <ds:schemaRef ds:uri="http://gemini/pivotcustomization/ef812537-91c0-444c-9e74-09398cc8450a"/>
  </ds:schemaRefs>
</ds:datastoreItem>
</file>

<file path=customXml/itemProps9.xml><?xml version="1.0" encoding="utf-8"?>
<ds:datastoreItem xmlns:ds="http://schemas.openxmlformats.org/officeDocument/2006/customXml" ds:itemID="{A87278F7-57B0-4657-89A2-05E968446CCA}">
  <ds:schemaRefs/>
</ds:datastoreItem>
</file>

<file path=customXml/itemProps10.xml><?xml version="1.0" encoding="utf-8"?>
<ds:datastoreItem xmlns:ds="http://schemas.openxmlformats.org/officeDocument/2006/customXml" ds:itemID="{986CBC09-6BFB-48B4-AA77-708CCAD53EED}">
  <ds:schemaRefs/>
</ds:datastoreItem>
</file>

<file path=customXml/itemProps11.xml><?xml version="1.0" encoding="utf-8"?>
<ds:datastoreItem xmlns:ds="http://schemas.openxmlformats.org/officeDocument/2006/customXml" ds:itemID="{75215CB8-98DE-48CD-8EC7-56BF9AB61235}">
  <ds:schemaRefs/>
</ds:datastoreItem>
</file>

<file path=customXml/itemProps12.xml><?xml version="1.0" encoding="utf-8"?>
<ds:datastoreItem xmlns:ds="http://schemas.openxmlformats.org/officeDocument/2006/customXml" ds:itemID="{6BA82098-CA29-4B80-AD4B-CE9DA9058332}">
  <ds:schemaRefs/>
</ds:datastoreItem>
</file>

<file path=customXml/itemProps13.xml><?xml version="1.0" encoding="utf-8"?>
<ds:datastoreItem xmlns:ds="http://schemas.openxmlformats.org/officeDocument/2006/customXml" ds:itemID="{8B5B3265-C926-4BC7-906F-A104DBEBD750}">
  <ds:schemaRefs/>
</ds:datastoreItem>
</file>

<file path=customXml/itemProps14.xml><?xml version="1.0" encoding="utf-8"?>
<ds:datastoreItem xmlns:ds="http://schemas.openxmlformats.org/officeDocument/2006/customXml" ds:itemID="{34A3F6D1-FA2F-4531-858B-AA314C42574E}">
  <ds:schemaRefs/>
</ds:datastoreItem>
</file>

<file path=customXml/itemProps15.xml><?xml version="1.0" encoding="utf-8"?>
<ds:datastoreItem xmlns:ds="http://schemas.openxmlformats.org/officeDocument/2006/customXml" ds:itemID="{7CCC2530-F3B0-4BFA-A51B-A99DC735E374}">
  <ds:schemaRefs/>
</ds:datastoreItem>
</file>

<file path=customXml/itemProps16.xml><?xml version="1.0" encoding="utf-8"?>
<ds:datastoreItem xmlns:ds="http://schemas.openxmlformats.org/officeDocument/2006/customXml" ds:itemID="{426C96EE-B5A8-4BCE-BE3C-725B69496C3C}">
  <ds:schemaRefs/>
</ds:datastoreItem>
</file>

<file path=customXml/itemProps17.xml><?xml version="1.0" encoding="utf-8"?>
<ds:datastoreItem xmlns:ds="http://schemas.openxmlformats.org/officeDocument/2006/customXml" ds:itemID="{7296CB31-B801-4CDF-92D7-CAFC05D80965}">
  <ds:schemaRefs/>
</ds:datastoreItem>
</file>

<file path=customXml/itemProps18.xml><?xml version="1.0" encoding="utf-8"?>
<ds:datastoreItem xmlns:ds="http://schemas.openxmlformats.org/officeDocument/2006/customXml" ds:itemID="{088177C1-5156-4EDE-BD19-11CBAB7E37B6}">
  <ds:schemaRefs/>
</ds:datastoreItem>
</file>

<file path=customXml/itemProps19.xml><?xml version="1.0" encoding="utf-8"?>
<ds:datastoreItem xmlns:ds="http://schemas.openxmlformats.org/officeDocument/2006/customXml" ds:itemID="{A2882889-8D6F-4FA9-BC0D-409D71FB83C0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20B2D4EA-BE78-4275-8703-75A0CB72BFA8}">
  <ds:schemaRefs/>
</ds:datastoreItem>
</file>

<file path=customXml/itemProps21.xml><?xml version="1.0" encoding="utf-8"?>
<ds:datastoreItem xmlns:ds="http://schemas.openxmlformats.org/officeDocument/2006/customXml" ds:itemID="{AF633963-7689-4656-9483-4497043A169B}">
  <ds:schemaRefs/>
</ds:datastoreItem>
</file>

<file path=customXml/itemProps22.xml><?xml version="1.0" encoding="utf-8"?>
<ds:datastoreItem xmlns:ds="http://schemas.openxmlformats.org/officeDocument/2006/customXml" ds:itemID="{714E780B-C220-40D3-B269-9DFBA5BBA9BB}">
  <ds:schemaRefs/>
</ds:datastoreItem>
</file>

<file path=customXml/itemProps23.xml><?xml version="1.0" encoding="utf-8"?>
<ds:datastoreItem xmlns:ds="http://schemas.openxmlformats.org/officeDocument/2006/customXml" ds:itemID="{3BDDD6AF-CA58-403C-B0BA-A06AE1EB0D81}">
  <ds:schemaRefs/>
</ds:datastoreItem>
</file>

<file path=customXml/itemProps24.xml><?xml version="1.0" encoding="utf-8"?>
<ds:datastoreItem xmlns:ds="http://schemas.openxmlformats.org/officeDocument/2006/customXml" ds:itemID="{3A760FCF-41BC-4C5A-B2E9-262ABDB30314}">
  <ds:schemaRefs/>
</ds:datastoreItem>
</file>

<file path=customXml/itemProps25.xml><?xml version="1.0" encoding="utf-8"?>
<ds:datastoreItem xmlns:ds="http://schemas.openxmlformats.org/officeDocument/2006/customXml" ds:itemID="{F62D9015-2E4F-456E-8280-77CFA806CD26}">
  <ds:schemaRefs>
    <ds:schemaRef ds:uri="http://gemini/pivotcustomization/fb097d15-11e1-4ea0-acde-5793acadf46b"/>
  </ds:schemaRefs>
</ds:datastoreItem>
</file>

<file path=customXml/itemProps26.xml><?xml version="1.0" encoding="utf-8"?>
<ds:datastoreItem xmlns:ds="http://schemas.openxmlformats.org/officeDocument/2006/customXml" ds:itemID="{D0590D39-7971-4D1D-A9F6-71D37A9A4E97}">
  <ds:schemaRefs/>
</ds:datastoreItem>
</file>

<file path=customXml/itemProps27.xml><?xml version="1.0" encoding="utf-8"?>
<ds:datastoreItem xmlns:ds="http://schemas.openxmlformats.org/officeDocument/2006/customXml" ds:itemID="{27A9F273-8B58-4B09-BE91-F2D2BD6EFE66}">
  <ds:schemaRefs/>
</ds:datastoreItem>
</file>

<file path=customXml/itemProps28.xml><?xml version="1.0" encoding="utf-8"?>
<ds:datastoreItem xmlns:ds="http://schemas.openxmlformats.org/officeDocument/2006/customXml" ds:itemID="{CECC85A1-C302-468F-98CE-6D79D38FF443}">
  <ds:schemaRefs/>
</ds:datastoreItem>
</file>

<file path=customXml/itemProps29.xml><?xml version="1.0" encoding="utf-8"?>
<ds:datastoreItem xmlns:ds="http://schemas.openxmlformats.org/officeDocument/2006/customXml" ds:itemID="{B7D4F39C-8A8A-45AD-9FE5-6339D2EFC078}">
  <ds:schemaRefs/>
</ds:datastoreItem>
</file>

<file path=customXml/itemProps30.xml><?xml version="1.0" encoding="utf-8"?>
<ds:datastoreItem xmlns:ds="http://schemas.openxmlformats.org/officeDocument/2006/customXml" ds:itemID="{694AEFEE-5CFB-4E61-A3E2-4095E4520483}">
  <ds:schemaRefs/>
</ds:datastoreItem>
</file>

<file path=customXml/itemProps31.xml><?xml version="1.0" encoding="utf-8"?>
<ds:datastoreItem xmlns:ds="http://schemas.openxmlformats.org/officeDocument/2006/customXml" ds:itemID="{F432F853-5A58-4021-8AD5-680DAE17ED5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Suivi</vt:lpstr>
      <vt:lpstr>Annuaire</vt:lpstr>
      <vt:lpstr>Statistiques saisons</vt:lpstr>
      <vt:lpstr>_parametres</vt:lpstr>
      <vt:lpstr>Discord (OLD)</vt:lpstr>
      <vt:lpstr>mariadb_members</vt:lpstr>
      <vt:lpstr>activites</vt:lpstr>
      <vt:lpstr>cotisant</vt:lpstr>
      <vt:lpstr>cotisant_saison_prec</vt:lpstr>
      <vt:lpstr>cotisation</vt:lpstr>
      <vt:lpstr>ecuyer</vt:lpstr>
      <vt:lpstr>nom_userfriendly</vt:lpstr>
      <vt:lpstr>presence</vt:lpstr>
      <vt:lpstr>saison_debut</vt:lpstr>
      <vt:lpstr>saison_en_cours</vt:lpstr>
      <vt:lpstr>saison_fin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Brettnacher</dc:creator>
  <cp:lastModifiedBy>Vincent Brettnacher</cp:lastModifiedBy>
  <cp:lastPrinted>2025-10-23T15:23:41Z</cp:lastPrinted>
  <dcterms:created xsi:type="dcterms:W3CDTF">2024-09-07T15:07:25Z</dcterms:created>
  <dcterms:modified xsi:type="dcterms:W3CDTF">2026-01-26T11:54:00Z</dcterms:modified>
</cp:coreProperties>
</file>