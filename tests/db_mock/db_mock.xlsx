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filterPrivacy="1" hidePivotFieldList="1" defaultThemeVersion="166925"/>
  <xr:revisionPtr revIDLastSave="0" documentId="13_ncr:1_{AF56072B-CDDF-48CD-A09C-38D81D8BC80E}" xr6:coauthVersionLast="47" xr6:coauthVersionMax="47" xr10:uidLastSave="{00000000-0000-0000-0000-000000000000}"/>
  <bookViews>
    <workbookView xWindow="-120" yWindow="-120" windowWidth="29040" windowHeight="15720" tabRatio="779" xr2:uid="{86FFD3C6-518C-4801-8351-85DADF0C86EC}"/>
  </bookViews>
  <sheets>
    <sheet name="Suivi" sheetId="1" r:id="rId1"/>
    <sheet name="Annuaire" sheetId="2" r:id="rId2"/>
    <sheet name="Statistiques saisons" sheetId="10" r:id="rId3"/>
    <sheet name="_parametres" sheetId="3" r:id="rId4"/>
  </sheets>
  <definedNames>
    <definedName name="_xlcn.WorksheetConnection_AnnuaireSuivi2.0.xlsxannuaire" hidden="1">annuaire[]</definedName>
    <definedName name="_xlcn.WorksheetConnection_AnnuaireSuivi2.0.xlsxsaisons" hidden="1">saisons[]</definedName>
    <definedName name="_xlcn.WorksheetConnection_AnnuaireSuivi2.0.xlsxsuivi" hidden="1">suivi[]</definedName>
    <definedName name="activites">_parametres!$U$1</definedName>
    <definedName name="cotisant">_parametres!$J$8</definedName>
    <definedName name="cotisant_saison_prec">_parametres!$J$9</definedName>
    <definedName name="cotisation">_parametres!$A$2</definedName>
    <definedName name="ecuyer">_parametres!$E$6</definedName>
    <definedName name="nom_userfriendly">_parametres!$T$1</definedName>
    <definedName name="presence">_parametres!$A$3</definedName>
    <definedName name="saison_debut">'Statistiques saisons'!$B$2</definedName>
    <definedName name="saison_en_cours">'Statistiques saisons'!$A$2</definedName>
    <definedName name="saison_fin">'Statistiques saisons'!$C$2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onnaissance" name="connaissance" connection="WorksheetConnection_Annuaire &amp; Suivi.xlsx!connaissance"/>
          <x15:modelTable id="suivi" name="suivi" connection="WorksheetConnection_Annuaire &amp; Suivi 2.0.xlsx!suivi"/>
          <x15:modelTable id="saisons" name="saisons" connection="WorksheetConnection_Annuaire &amp; Suivi 2.0.xlsx!saisons"/>
          <x15:modelTable id="annuaire" name="annuaire" connection="WorksheetConnection_Annuaire &amp; Suivi 2.0.xlsx!annuaire"/>
        </x15:modelTables>
        <x15:modelRelationships>
          <x15:modelRelationship fromTable="suivi" fromColumn="membre.id" toTable="annuaire" toColumn="id"/>
          <x15:modelRelationship fromTable="suivi" fromColumn="#support.saison" toTable="saisons" toColumn="nom"/>
          <x15:modelRelationship fromTable="suivi" fromColumn="membre.source_connaissance" toTable="connaissance" toColumn="val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1" l="1"/>
  <c r="B36" i="1"/>
  <c r="B43" i="1"/>
  <c r="B53" i="1"/>
  <c r="B54" i="1"/>
  <c r="B56" i="1"/>
  <c r="B79" i="1"/>
  <c r="B81" i="1"/>
  <c r="B90" i="1"/>
  <c r="B109" i="1"/>
  <c r="B110" i="1"/>
  <c r="B113" i="1"/>
  <c r="B115" i="1"/>
  <c r="B128" i="1"/>
  <c r="B147" i="1"/>
  <c r="B148" i="1"/>
  <c r="B149" i="1"/>
  <c r="B155" i="1"/>
  <c r="B170" i="1"/>
  <c r="B177" i="1"/>
  <c r="B185" i="1"/>
  <c r="B186" i="1"/>
  <c r="B187" i="1"/>
  <c r="P16" i="1"/>
  <c r="P36" i="1"/>
  <c r="P43" i="1"/>
  <c r="P53" i="1"/>
  <c r="P54" i="1"/>
  <c r="P56" i="1"/>
  <c r="P79" i="1"/>
  <c r="P81" i="1"/>
  <c r="P90" i="1"/>
  <c r="P109" i="1"/>
  <c r="P110" i="1"/>
  <c r="P113" i="1"/>
  <c r="P115" i="1"/>
  <c r="P128" i="1"/>
  <c r="P147" i="1"/>
  <c r="P148" i="1"/>
  <c r="P149" i="1"/>
  <c r="P155" i="1"/>
  <c r="P170" i="1"/>
  <c r="P177" i="1"/>
  <c r="P185" i="1"/>
  <c r="P186" i="1"/>
  <c r="P187" i="1"/>
  <c r="AH16" i="1" a="1"/>
  <c r="AH16" i="1"/>
  <c r="C16" i="1" s="1"/>
  <c r="AH36" i="1" a="1"/>
  <c r="AH36" i="1"/>
  <c r="C36" i="1" s="1"/>
  <c r="AH43" i="1" a="1"/>
  <c r="AH43" i="1"/>
  <c r="C43" i="1" s="1"/>
  <c r="AH53" i="1" a="1"/>
  <c r="AH53" i="1"/>
  <c r="C53" i="1" s="1"/>
  <c r="AH54" i="1" a="1"/>
  <c r="AH54" i="1"/>
  <c r="C54" i="1" s="1"/>
  <c r="AH56" i="1" a="1"/>
  <c r="AH56" i="1"/>
  <c r="C56" i="1" s="1"/>
  <c r="AH79" i="1" a="1"/>
  <c r="AH79" i="1"/>
  <c r="C79" i="1" s="1"/>
  <c r="AH81" i="1" a="1"/>
  <c r="AH81" i="1"/>
  <c r="C81" i="1" s="1"/>
  <c r="AH90" i="1" a="1"/>
  <c r="AH90" i="1"/>
  <c r="C90" i="1" s="1"/>
  <c r="AH109" i="1" a="1"/>
  <c r="AH109" i="1"/>
  <c r="C109" i="1" s="1"/>
  <c r="AH110" i="1" a="1"/>
  <c r="AH110" i="1"/>
  <c r="C110" i="1" s="1"/>
  <c r="AH113" i="1" a="1"/>
  <c r="AH113" i="1"/>
  <c r="C113" i="1" s="1"/>
  <c r="AH115" i="1" a="1"/>
  <c r="AH115" i="1"/>
  <c r="C115" i="1" s="1"/>
  <c r="AH128" i="1" a="1"/>
  <c r="AH128" i="1"/>
  <c r="C128" i="1" s="1"/>
  <c r="AH147" i="1" a="1"/>
  <c r="AH147" i="1"/>
  <c r="C147" i="1" s="1"/>
  <c r="AH148" i="1" a="1"/>
  <c r="AH148" i="1"/>
  <c r="C148" i="1" s="1"/>
  <c r="AH149" i="1" a="1"/>
  <c r="AH149" i="1"/>
  <c r="C149" i="1" s="1"/>
  <c r="AH155" i="1" a="1"/>
  <c r="AH155" i="1"/>
  <c r="C155" i="1" s="1"/>
  <c r="AH170" i="1" a="1"/>
  <c r="AH170" i="1"/>
  <c r="C170" i="1" s="1"/>
  <c r="AH177" i="1" a="1"/>
  <c r="AH177" i="1"/>
  <c r="C177" i="1" s="1"/>
  <c r="AH185" i="1" a="1"/>
  <c r="AH185" i="1"/>
  <c r="C185" i="1" s="1"/>
  <c r="AH186" i="1" a="1"/>
  <c r="AH186" i="1"/>
  <c r="C186" i="1" s="1"/>
  <c r="AH187" i="1" a="1"/>
  <c r="AH187" i="1"/>
  <c r="C187" i="1" s="1"/>
  <c r="AI16" i="1"/>
  <c r="AI36" i="1"/>
  <c r="AI43" i="1"/>
  <c r="AI53" i="1"/>
  <c r="AI54" i="1"/>
  <c r="AI56" i="1"/>
  <c r="AI79" i="1"/>
  <c r="AI81" i="1"/>
  <c r="AI90" i="1"/>
  <c r="AI109" i="1"/>
  <c r="AI110" i="1"/>
  <c r="AI113" i="1"/>
  <c r="AI115" i="1"/>
  <c r="AI128" i="1"/>
  <c r="AI147" i="1"/>
  <c r="AI148" i="1"/>
  <c r="AI149" i="1"/>
  <c r="AI155" i="1"/>
  <c r="AI170" i="1"/>
  <c r="AI177" i="1"/>
  <c r="AI185" i="1"/>
  <c r="AI186" i="1"/>
  <c r="AI187" i="1"/>
  <c r="B39" i="1"/>
  <c r="B62" i="1"/>
  <c r="B63" i="1"/>
  <c r="B64" i="1"/>
  <c r="B65" i="1"/>
  <c r="B66" i="1"/>
  <c r="B69" i="1"/>
  <c r="B73" i="1"/>
  <c r="P39" i="1"/>
  <c r="P62" i="1"/>
  <c r="P63" i="1"/>
  <c r="P64" i="1"/>
  <c r="P65" i="1"/>
  <c r="P66" i="1"/>
  <c r="P69" i="1"/>
  <c r="P73" i="1"/>
  <c r="AH39" i="1" a="1"/>
  <c r="AH39" i="1" s="1"/>
  <c r="C39" i="1" s="1"/>
  <c r="AH62" i="1" a="1"/>
  <c r="AH62" i="1" s="1"/>
  <c r="C62" i="1" s="1"/>
  <c r="AH63" i="1" a="1"/>
  <c r="AH63" i="1" s="1"/>
  <c r="C63" i="1" s="1"/>
  <c r="AH64" i="1" a="1"/>
  <c r="AH64" i="1" s="1"/>
  <c r="C64" i="1" s="1"/>
  <c r="AH65" i="1" a="1"/>
  <c r="AH65" i="1" s="1"/>
  <c r="C65" i="1" s="1"/>
  <c r="AH66" i="1" a="1"/>
  <c r="AH66" i="1" s="1"/>
  <c r="C66" i="1" s="1"/>
  <c r="AH69" i="1" a="1"/>
  <c r="AH69" i="1" s="1"/>
  <c r="C69" i="1" s="1"/>
  <c r="AH73" i="1" a="1"/>
  <c r="AH73" i="1" s="1"/>
  <c r="C73" i="1" s="1"/>
  <c r="AI39" i="1"/>
  <c r="AI62" i="1"/>
  <c r="AI63" i="1"/>
  <c r="AI64" i="1"/>
  <c r="AI65" i="1"/>
  <c r="AI66" i="1"/>
  <c r="AI69" i="1"/>
  <c r="AI73" i="1"/>
  <c r="B5" i="1"/>
  <c r="B8" i="1"/>
  <c r="B9" i="1"/>
  <c r="B13" i="1"/>
  <c r="B14" i="1"/>
  <c r="B23" i="1"/>
  <c r="B24" i="1"/>
  <c r="B25" i="1"/>
  <c r="B29" i="1"/>
  <c r="B30" i="1"/>
  <c r="B32" i="1"/>
  <c r="B33" i="1"/>
  <c r="B35" i="1"/>
  <c r="B100" i="1"/>
  <c r="AH5" i="1" a="1"/>
  <c r="AH5" i="1" s="1"/>
  <c r="C5" i="1" s="1"/>
  <c r="AH8" i="1" a="1"/>
  <c r="AH8" i="1" s="1"/>
  <c r="C8" i="1" s="1"/>
  <c r="AH9" i="1" a="1"/>
  <c r="AH9" i="1" s="1"/>
  <c r="C9" i="1" s="1"/>
  <c r="AH13" i="1" a="1"/>
  <c r="AH13" i="1" s="1"/>
  <c r="C13" i="1" s="1"/>
  <c r="AH14" i="1" a="1"/>
  <c r="AH14" i="1" s="1"/>
  <c r="C14" i="1" s="1"/>
  <c r="AH23" i="1" a="1"/>
  <c r="AH23" i="1" s="1"/>
  <c r="C23" i="1" s="1"/>
  <c r="AH24" i="1" a="1"/>
  <c r="AH24" i="1" s="1"/>
  <c r="C24" i="1" s="1"/>
  <c r="AH25" i="1" a="1"/>
  <c r="AH25" i="1" s="1"/>
  <c r="C25" i="1" s="1"/>
  <c r="AH29" i="1" a="1"/>
  <c r="AH29" i="1" s="1"/>
  <c r="C29" i="1" s="1"/>
  <c r="AH30" i="1" a="1"/>
  <c r="AH30" i="1" s="1"/>
  <c r="C30" i="1" s="1"/>
  <c r="AH32" i="1" a="1"/>
  <c r="AH32" i="1" s="1"/>
  <c r="C32" i="1" s="1"/>
  <c r="AH33" i="1" a="1"/>
  <c r="AH33" i="1" s="1"/>
  <c r="C33" i="1" s="1"/>
  <c r="AH35" i="1" a="1"/>
  <c r="AH35" i="1" s="1"/>
  <c r="C35" i="1" s="1"/>
  <c r="AH100" i="1" a="1"/>
  <c r="AH100" i="1" s="1"/>
  <c r="C100" i="1" s="1"/>
  <c r="AI5" i="1"/>
  <c r="AI8" i="1"/>
  <c r="AI9" i="1"/>
  <c r="AI13" i="1"/>
  <c r="AI14" i="1"/>
  <c r="AI23" i="1"/>
  <c r="AI24" i="1"/>
  <c r="AI25" i="1"/>
  <c r="AI29" i="1"/>
  <c r="AI30" i="1"/>
  <c r="AI32" i="1"/>
  <c r="AI33" i="1"/>
  <c r="AI35" i="1"/>
  <c r="AI100" i="1"/>
  <c r="B160" i="1"/>
  <c r="AH160" i="1" a="1"/>
  <c r="AH160" i="1" s="1"/>
  <c r="C160" i="1" s="1"/>
  <c r="AI160" i="1"/>
  <c r="B6" i="1"/>
  <c r="B7" i="1"/>
  <c r="B10" i="1"/>
  <c r="B11" i="1"/>
  <c r="B12" i="1"/>
  <c r="B19" i="1"/>
  <c r="B21" i="1"/>
  <c r="B22" i="1"/>
  <c r="B27" i="1"/>
  <c r="B28" i="1"/>
  <c r="AH6" i="1" a="1"/>
  <c r="AH6" i="1" s="1"/>
  <c r="C6" i="1" s="1"/>
  <c r="AH7" i="1" a="1"/>
  <c r="AH7" i="1" s="1"/>
  <c r="C7" i="1" s="1"/>
  <c r="AH10" i="1" a="1"/>
  <c r="AH10" i="1" s="1"/>
  <c r="C10" i="1" s="1"/>
  <c r="AH11" i="1" a="1"/>
  <c r="AH11" i="1" s="1"/>
  <c r="C11" i="1" s="1"/>
  <c r="AH12" i="1" a="1"/>
  <c r="AH12" i="1" s="1"/>
  <c r="C12" i="1" s="1"/>
  <c r="AH19" i="1" a="1"/>
  <c r="AH19" i="1" s="1"/>
  <c r="C19" i="1" s="1"/>
  <c r="AH21" i="1" a="1"/>
  <c r="AH21" i="1" s="1"/>
  <c r="C21" i="1" s="1"/>
  <c r="AH22" i="1" a="1"/>
  <c r="AH22" i="1" s="1"/>
  <c r="C22" i="1" s="1"/>
  <c r="AH27" i="1" a="1"/>
  <c r="AH27" i="1" s="1"/>
  <c r="C27" i="1" s="1"/>
  <c r="AH28" i="1" a="1"/>
  <c r="AH28" i="1" s="1"/>
  <c r="C28" i="1" s="1"/>
  <c r="AI6" i="1"/>
  <c r="AI7" i="1"/>
  <c r="AI10" i="1"/>
  <c r="AI11" i="1"/>
  <c r="AI12" i="1"/>
  <c r="AI19" i="1"/>
  <c r="AI21" i="1"/>
  <c r="AI22" i="1"/>
  <c r="AI27" i="1"/>
  <c r="AI28" i="1"/>
  <c r="B184" i="1"/>
  <c r="AH184" i="1" a="1"/>
  <c r="AH184" i="1" s="1"/>
  <c r="C184" i="1" s="1"/>
  <c r="AI184" i="1"/>
  <c r="B181" i="1"/>
  <c r="AH181" i="1" a="1"/>
  <c r="AH181" i="1" s="1"/>
  <c r="C181" i="1" s="1"/>
  <c r="AI181" i="1"/>
  <c r="B179" i="1"/>
  <c r="AH179" i="1" a="1"/>
  <c r="AH179" i="1" s="1"/>
  <c r="C179" i="1" s="1"/>
  <c r="AI179" i="1"/>
  <c r="B175" i="1"/>
  <c r="AH175" i="1" a="1"/>
  <c r="AH175" i="1" s="1"/>
  <c r="C175" i="1" s="1"/>
  <c r="AI175" i="1"/>
  <c r="B169" i="1"/>
  <c r="AH169" i="1" a="1"/>
  <c r="AH169" i="1" s="1"/>
  <c r="C169" i="1" s="1"/>
  <c r="AI169" i="1"/>
  <c r="B166" i="1"/>
  <c r="AH166" i="1" a="1"/>
  <c r="AH166" i="1" s="1"/>
  <c r="C166" i="1" s="1"/>
  <c r="AI166" i="1"/>
  <c r="B164" i="1"/>
  <c r="AH164" i="1" a="1"/>
  <c r="AH164" i="1" s="1"/>
  <c r="C164" i="1" s="1"/>
  <c r="AI164" i="1"/>
  <c r="B159" i="1"/>
  <c r="AH159" i="1" a="1"/>
  <c r="AH159" i="1" s="1"/>
  <c r="C159" i="1" s="1"/>
  <c r="AI159" i="1"/>
  <c r="B153" i="1"/>
  <c r="B154" i="1"/>
  <c r="AH153" i="1" a="1"/>
  <c r="AH153" i="1" s="1"/>
  <c r="C153" i="1" s="1"/>
  <c r="AH154" i="1" a="1"/>
  <c r="AH154" i="1" s="1"/>
  <c r="C154" i="1" s="1"/>
  <c r="AI153" i="1"/>
  <c r="AI154" i="1"/>
  <c r="B150" i="1"/>
  <c r="AH150" i="1" a="1"/>
  <c r="AH150" i="1" s="1"/>
  <c r="C150" i="1" s="1"/>
  <c r="AI150" i="1"/>
  <c r="B146" i="1"/>
  <c r="AH146" i="1" a="1"/>
  <c r="AH146" i="1" s="1"/>
  <c r="C146" i="1" s="1"/>
  <c r="AI146" i="1"/>
  <c r="B141" i="1"/>
  <c r="AH141" i="1" a="1"/>
  <c r="AH141" i="1" s="1"/>
  <c r="C141" i="1" s="1"/>
  <c r="AI141" i="1"/>
  <c r="B139" i="1"/>
  <c r="AH139" i="1" a="1"/>
  <c r="AH139" i="1" s="1"/>
  <c r="C139" i="1" s="1"/>
  <c r="AI139" i="1"/>
  <c r="B132" i="1"/>
  <c r="AH132" i="1" a="1"/>
  <c r="AH132" i="1" s="1"/>
  <c r="C132" i="1" s="1"/>
  <c r="AI132" i="1"/>
  <c r="B130" i="1"/>
  <c r="AH130" i="1" a="1"/>
  <c r="AH130" i="1" s="1"/>
  <c r="C130" i="1" s="1"/>
  <c r="AI130" i="1"/>
  <c r="B127" i="1"/>
  <c r="AH127" i="1" a="1"/>
  <c r="AH127" i="1" s="1"/>
  <c r="C127" i="1" s="1"/>
  <c r="AI127" i="1"/>
  <c r="B124" i="1"/>
  <c r="AH124" i="1" a="1"/>
  <c r="AH124" i="1" s="1"/>
  <c r="C124" i="1" s="1"/>
  <c r="AI124" i="1"/>
  <c r="B120" i="1"/>
  <c r="AH120" i="1" a="1"/>
  <c r="AH120" i="1" s="1"/>
  <c r="C120" i="1" s="1"/>
  <c r="AI120" i="1"/>
  <c r="B119" i="1"/>
  <c r="AH119" i="1" a="1"/>
  <c r="AH119" i="1" s="1"/>
  <c r="C119" i="1" s="1"/>
  <c r="AI119" i="1"/>
  <c r="B112" i="1"/>
  <c r="AH112" i="1" a="1"/>
  <c r="AH112" i="1" s="1"/>
  <c r="C112" i="1" s="1"/>
  <c r="AI112" i="1"/>
  <c r="B108" i="1"/>
  <c r="AH108" i="1" a="1"/>
  <c r="AH108" i="1" s="1"/>
  <c r="C108" i="1" s="1"/>
  <c r="AI108" i="1"/>
  <c r="B103" i="1"/>
  <c r="AH103" i="1" a="1"/>
  <c r="AH103" i="1" s="1"/>
  <c r="C103" i="1" s="1"/>
  <c r="AI103" i="1"/>
  <c r="B99" i="1"/>
  <c r="AH99" i="1" a="1"/>
  <c r="AH99" i="1" s="1"/>
  <c r="C99" i="1" s="1"/>
  <c r="AI99" i="1"/>
  <c r="B97" i="1"/>
  <c r="AH97" i="1" a="1"/>
  <c r="AH97" i="1" s="1"/>
  <c r="C97" i="1" s="1"/>
  <c r="AI97" i="1"/>
  <c r="B94" i="1"/>
  <c r="B95" i="1"/>
  <c r="AH94" i="1" a="1"/>
  <c r="AH94" i="1" s="1"/>
  <c r="C94" i="1" s="1"/>
  <c r="AH95" i="1" a="1"/>
  <c r="AH95" i="1" s="1"/>
  <c r="C95" i="1" s="1"/>
  <c r="AI94" i="1"/>
  <c r="AI95" i="1"/>
  <c r="B89" i="1"/>
  <c r="AH89" i="1" a="1"/>
  <c r="AH89" i="1" s="1"/>
  <c r="C89" i="1" s="1"/>
  <c r="AI89" i="1"/>
  <c r="B86" i="1"/>
  <c r="AH86" i="1" a="1"/>
  <c r="AH86" i="1" s="1"/>
  <c r="C86" i="1" s="1"/>
  <c r="AI86" i="1"/>
  <c r="B4" i="1"/>
  <c r="AH4" i="1" a="1"/>
  <c r="AH4" i="1" s="1"/>
  <c r="C4" i="1" s="1"/>
  <c r="AI4" i="1"/>
  <c r="B183" i="1"/>
  <c r="AH183" i="1" a="1"/>
  <c r="AH183" i="1" s="1"/>
  <c r="C183" i="1" s="1"/>
  <c r="AI183" i="1"/>
  <c r="B182" i="1"/>
  <c r="AH182" i="1" a="1"/>
  <c r="AH182" i="1" s="1"/>
  <c r="C182" i="1" s="1"/>
  <c r="AI182" i="1"/>
  <c r="B180" i="1"/>
  <c r="AH180" i="1" a="1"/>
  <c r="AH180" i="1" s="1"/>
  <c r="C180" i="1" s="1"/>
  <c r="AI180" i="1"/>
  <c r="B178" i="1"/>
  <c r="AH178" i="1" a="1"/>
  <c r="AH178" i="1" s="1"/>
  <c r="C178" i="1" s="1"/>
  <c r="AI178" i="1"/>
  <c r="B176" i="1"/>
  <c r="AH176" i="1" a="1"/>
  <c r="AH176" i="1" s="1"/>
  <c r="C176" i="1" s="1"/>
  <c r="AI176" i="1"/>
  <c r="B174" i="1"/>
  <c r="AH174" i="1" a="1"/>
  <c r="AH174" i="1" s="1"/>
  <c r="C174" i="1" s="1"/>
  <c r="AI174" i="1"/>
  <c r="B173" i="1"/>
  <c r="AH173" i="1" a="1"/>
  <c r="AH173" i="1" s="1"/>
  <c r="C173" i="1" s="1"/>
  <c r="AI173" i="1"/>
  <c r="B172" i="1"/>
  <c r="AH172" i="1" a="1"/>
  <c r="AH172" i="1" s="1"/>
  <c r="C172" i="1" s="1"/>
  <c r="AI172" i="1"/>
  <c r="B171" i="1"/>
  <c r="AH171" i="1" a="1"/>
  <c r="AH171" i="1" s="1"/>
  <c r="C171" i="1" s="1"/>
  <c r="AI171" i="1"/>
  <c r="B168" i="1"/>
  <c r="AH168" i="1" a="1"/>
  <c r="AH168" i="1" s="1"/>
  <c r="C168" i="1" s="1"/>
  <c r="AI168" i="1"/>
  <c r="B167" i="1"/>
  <c r="AH167" i="1" a="1"/>
  <c r="AH167" i="1" s="1"/>
  <c r="C167" i="1" s="1"/>
  <c r="AI167" i="1"/>
  <c r="B165" i="1"/>
  <c r="AH165" i="1" a="1"/>
  <c r="AH165" i="1" s="1"/>
  <c r="C165" i="1" s="1"/>
  <c r="AI165" i="1"/>
  <c r="B163" i="1"/>
  <c r="AH163" i="1" a="1"/>
  <c r="AH163" i="1" s="1"/>
  <c r="C163" i="1" s="1"/>
  <c r="AI163" i="1"/>
  <c r="B162" i="1"/>
  <c r="AH162" i="1" a="1"/>
  <c r="AH162" i="1" s="1"/>
  <c r="C162" i="1" s="1"/>
  <c r="AI162" i="1"/>
  <c r="B161" i="1"/>
  <c r="AH161" i="1" a="1"/>
  <c r="AH161" i="1" s="1"/>
  <c r="C161" i="1" s="1"/>
  <c r="AI161" i="1"/>
  <c r="B158" i="1"/>
  <c r="AH158" i="1" a="1"/>
  <c r="AH158" i="1" s="1"/>
  <c r="C158" i="1" s="1"/>
  <c r="AI158" i="1"/>
  <c r="B157" i="1"/>
  <c r="AH157" i="1" a="1"/>
  <c r="AH157" i="1" s="1"/>
  <c r="C157" i="1" s="1"/>
  <c r="AI157" i="1"/>
  <c r="B156" i="1"/>
  <c r="AH156" i="1" a="1"/>
  <c r="AH156" i="1" s="1"/>
  <c r="C156" i="1" s="1"/>
  <c r="AI156" i="1"/>
  <c r="B152" i="1"/>
  <c r="AH152" i="1" a="1"/>
  <c r="AH152" i="1" s="1"/>
  <c r="C152" i="1" s="1"/>
  <c r="AI152" i="1"/>
  <c r="B151" i="1"/>
  <c r="AH151" i="1" a="1"/>
  <c r="AH151" i="1" s="1"/>
  <c r="C151" i="1" s="1"/>
  <c r="AI151" i="1"/>
  <c r="B145" i="1"/>
  <c r="AH145" i="1" a="1"/>
  <c r="AH145" i="1" s="1"/>
  <c r="C145" i="1" s="1"/>
  <c r="AI145" i="1"/>
  <c r="B144" i="1"/>
  <c r="AH144" i="1" a="1"/>
  <c r="AH144" i="1" s="1"/>
  <c r="C144" i="1" s="1"/>
  <c r="AI144" i="1"/>
  <c r="B143" i="1"/>
  <c r="AH143" i="1" a="1"/>
  <c r="AH143" i="1" s="1"/>
  <c r="C143" i="1" s="1"/>
  <c r="AI143" i="1"/>
  <c r="B142" i="1"/>
  <c r="AH142" i="1" a="1"/>
  <c r="AH142" i="1" s="1"/>
  <c r="C142" i="1" s="1"/>
  <c r="AI142" i="1"/>
  <c r="B140" i="1"/>
  <c r="AH140" i="1" a="1"/>
  <c r="AH140" i="1" s="1"/>
  <c r="C140" i="1" s="1"/>
  <c r="AI140" i="1"/>
  <c r="B138" i="1"/>
  <c r="AH138" i="1" a="1"/>
  <c r="AH138" i="1" s="1"/>
  <c r="C138" i="1" s="1"/>
  <c r="AI138" i="1"/>
  <c r="B137" i="1"/>
  <c r="AH137" i="1" a="1"/>
  <c r="AH137" i="1" s="1"/>
  <c r="C137" i="1" s="1"/>
  <c r="AI137" i="1"/>
  <c r="B136" i="1"/>
  <c r="AH136" i="1" a="1"/>
  <c r="AH136" i="1" s="1"/>
  <c r="C136" i="1" s="1"/>
  <c r="AI136" i="1"/>
  <c r="B135" i="1"/>
  <c r="AH135" i="1" a="1"/>
  <c r="AH135" i="1" s="1"/>
  <c r="C135" i="1" s="1"/>
  <c r="AI135" i="1"/>
  <c r="B134" i="1"/>
  <c r="AH134" i="1" a="1"/>
  <c r="AH134" i="1" s="1"/>
  <c r="C134" i="1" s="1"/>
  <c r="AI134" i="1"/>
  <c r="B133" i="1"/>
  <c r="AH133" i="1" a="1"/>
  <c r="AH133" i="1" s="1"/>
  <c r="C133" i="1" s="1"/>
  <c r="AI133" i="1"/>
  <c r="B131" i="1"/>
  <c r="AH131" i="1" a="1"/>
  <c r="AH131" i="1" s="1"/>
  <c r="C131" i="1" s="1"/>
  <c r="AI131" i="1"/>
  <c r="B129" i="1"/>
  <c r="AH129" i="1" a="1"/>
  <c r="AH129" i="1" s="1"/>
  <c r="C129" i="1" s="1"/>
  <c r="AI129" i="1"/>
  <c r="B126" i="1"/>
  <c r="AH126" i="1" a="1"/>
  <c r="AH126" i="1" s="1"/>
  <c r="C126" i="1" s="1"/>
  <c r="AI126" i="1"/>
  <c r="B125" i="1"/>
  <c r="AH125" i="1" a="1"/>
  <c r="AH125" i="1" s="1"/>
  <c r="C125" i="1" s="1"/>
  <c r="AI125" i="1"/>
  <c r="B123" i="1"/>
  <c r="AH123" i="1" a="1"/>
  <c r="AH123" i="1" s="1"/>
  <c r="C123" i="1" s="1"/>
  <c r="AI123" i="1"/>
  <c r="B122" i="1"/>
  <c r="AH122" i="1" a="1"/>
  <c r="AH122" i="1" s="1"/>
  <c r="C122" i="1" s="1"/>
  <c r="AI122" i="1"/>
  <c r="B121" i="1"/>
  <c r="AH121" i="1" a="1"/>
  <c r="AH121" i="1" s="1"/>
  <c r="C121" i="1" s="1"/>
  <c r="AI121" i="1"/>
  <c r="B118" i="1"/>
  <c r="AH118" i="1" a="1"/>
  <c r="AH118" i="1" s="1"/>
  <c r="C118" i="1" s="1"/>
  <c r="AI118" i="1"/>
  <c r="B117" i="1"/>
  <c r="AH117" i="1" a="1"/>
  <c r="AH117" i="1" s="1"/>
  <c r="C117" i="1" s="1"/>
  <c r="AI117" i="1"/>
  <c r="B116" i="1"/>
  <c r="AH116" i="1" a="1"/>
  <c r="AH116" i="1" s="1"/>
  <c r="C116" i="1" s="1"/>
  <c r="AI116" i="1"/>
  <c r="B114" i="1"/>
  <c r="AH114" i="1" a="1"/>
  <c r="AH114" i="1" s="1"/>
  <c r="C114" i="1" s="1"/>
  <c r="AI114" i="1"/>
  <c r="B111" i="1"/>
  <c r="AH111" i="1" a="1"/>
  <c r="AH111" i="1" s="1"/>
  <c r="C111" i="1" s="1"/>
  <c r="AI111" i="1"/>
  <c r="B107" i="1"/>
  <c r="AH107" i="1" a="1"/>
  <c r="AH107" i="1" s="1"/>
  <c r="C107" i="1" s="1"/>
  <c r="AI107" i="1"/>
  <c r="B106" i="1"/>
  <c r="AH106" i="1" a="1"/>
  <c r="AH106" i="1" s="1"/>
  <c r="C106" i="1" s="1"/>
  <c r="AI106" i="1"/>
  <c r="B105" i="1"/>
  <c r="AH105" i="1" a="1"/>
  <c r="AH105" i="1" s="1"/>
  <c r="C105" i="1" s="1"/>
  <c r="AI105" i="1"/>
  <c r="B104" i="1"/>
  <c r="AH104" i="1" a="1"/>
  <c r="AH104" i="1" s="1"/>
  <c r="C104" i="1" s="1"/>
  <c r="AI104" i="1"/>
  <c r="B102" i="1"/>
  <c r="AH102" i="1" a="1"/>
  <c r="AH102" i="1" s="1"/>
  <c r="C102" i="1" s="1"/>
  <c r="AI102" i="1"/>
  <c r="B101" i="1"/>
  <c r="AH101" i="1" a="1"/>
  <c r="AH101" i="1" s="1"/>
  <c r="C101" i="1" s="1"/>
  <c r="AI101" i="1"/>
  <c r="B98" i="1"/>
  <c r="AH98" i="1" a="1"/>
  <c r="AH98" i="1" s="1"/>
  <c r="C98" i="1" s="1"/>
  <c r="AI98" i="1"/>
  <c r="B96" i="1"/>
  <c r="AH96" i="1" a="1"/>
  <c r="AH96" i="1" s="1"/>
  <c r="C96" i="1" s="1"/>
  <c r="AI96" i="1"/>
  <c r="B93" i="1"/>
  <c r="AH93" i="1" a="1"/>
  <c r="AH93" i="1" s="1"/>
  <c r="C93" i="1" s="1"/>
  <c r="AI93" i="1"/>
  <c r="B92" i="1"/>
  <c r="AH92" i="1" a="1"/>
  <c r="AH92" i="1" s="1"/>
  <c r="C92" i="1" s="1"/>
  <c r="AI92" i="1"/>
  <c r="B91" i="1"/>
  <c r="AH91" i="1" a="1"/>
  <c r="AH91" i="1" s="1"/>
  <c r="C91" i="1" s="1"/>
  <c r="AI91" i="1"/>
  <c r="B88" i="1"/>
  <c r="AH88" i="1" a="1"/>
  <c r="AH88" i="1" s="1"/>
  <c r="C88" i="1" s="1"/>
  <c r="AI88" i="1"/>
  <c r="B87" i="1"/>
  <c r="AH87" i="1" a="1"/>
  <c r="AH87" i="1" s="1"/>
  <c r="C87" i="1" s="1"/>
  <c r="AI87" i="1"/>
  <c r="B85" i="1"/>
  <c r="AH85" i="1" a="1"/>
  <c r="AH85" i="1" s="1"/>
  <c r="C85" i="1" s="1"/>
  <c r="AI85" i="1"/>
  <c r="B84" i="1"/>
  <c r="AH84" i="1" a="1"/>
  <c r="AH84" i="1" s="1"/>
  <c r="C84" i="1" s="1"/>
  <c r="AI84" i="1"/>
  <c r="B82" i="1"/>
  <c r="B83" i="1"/>
  <c r="AH82" i="1" a="1"/>
  <c r="AH82" i="1" s="1"/>
  <c r="C82" i="1" s="1"/>
  <c r="AH83" i="1" a="1"/>
  <c r="AH83" i="1" s="1"/>
  <c r="C83" i="1" s="1"/>
  <c r="AI82" i="1"/>
  <c r="AI83" i="1"/>
  <c r="B80" i="1"/>
  <c r="AH80" i="1" a="1"/>
  <c r="AH80" i="1" s="1"/>
  <c r="C80" i="1" s="1"/>
  <c r="AI80" i="1"/>
  <c r="B78" i="1"/>
  <c r="AH78" i="1" a="1"/>
  <c r="AH78" i="1" s="1"/>
  <c r="C78" i="1" s="1"/>
  <c r="AI78" i="1"/>
  <c r="B77" i="1"/>
  <c r="AH77" i="1" a="1"/>
  <c r="AH77" i="1" s="1"/>
  <c r="C77" i="1" s="1"/>
  <c r="AI77" i="1"/>
  <c r="B76" i="1"/>
  <c r="AH76" i="1" a="1"/>
  <c r="AH76" i="1" s="1"/>
  <c r="C76" i="1" s="1"/>
  <c r="AI76" i="1"/>
  <c r="B75" i="1"/>
  <c r="AH75" i="1" a="1"/>
  <c r="AH75" i="1" s="1"/>
  <c r="C75" i="1" s="1"/>
  <c r="AI75" i="1"/>
  <c r="B74" i="1"/>
  <c r="AH74" i="1" a="1"/>
  <c r="AH74" i="1" s="1"/>
  <c r="C74" i="1" s="1"/>
  <c r="AI74" i="1"/>
  <c r="B72" i="1"/>
  <c r="AH72" i="1" a="1"/>
  <c r="AH72" i="1" s="1"/>
  <c r="C72" i="1" s="1"/>
  <c r="AI72" i="1"/>
  <c r="B71" i="1"/>
  <c r="AH71" i="1" a="1"/>
  <c r="AH71" i="1" s="1"/>
  <c r="C71" i="1" s="1"/>
  <c r="AI71" i="1"/>
  <c r="B70" i="1"/>
  <c r="AH70" i="1" a="1"/>
  <c r="AH70" i="1" s="1"/>
  <c r="C70" i="1" s="1"/>
  <c r="AI70" i="1"/>
  <c r="B68" i="1"/>
  <c r="AH68" i="1" a="1"/>
  <c r="AH68" i="1" s="1"/>
  <c r="C68" i="1" s="1"/>
  <c r="AI68" i="1"/>
  <c r="B67" i="1"/>
  <c r="AH67" i="1" a="1"/>
  <c r="AH67" i="1" s="1"/>
  <c r="C67" i="1" s="1"/>
  <c r="AI67" i="1"/>
  <c r="B61" i="1"/>
  <c r="AH61" i="1" a="1"/>
  <c r="AH61" i="1" s="1"/>
  <c r="C61" i="1" s="1"/>
  <c r="AI61" i="1"/>
  <c r="B60" i="1"/>
  <c r="AH60" i="1" a="1"/>
  <c r="AH60" i="1" s="1"/>
  <c r="C60" i="1" s="1"/>
  <c r="AI60" i="1"/>
  <c r="B59" i="1"/>
  <c r="AH59" i="1" a="1"/>
  <c r="AH59" i="1" s="1"/>
  <c r="C59" i="1" s="1"/>
  <c r="AI59" i="1"/>
  <c r="B58" i="1"/>
  <c r="AH58" i="1" a="1"/>
  <c r="AH58" i="1" s="1"/>
  <c r="C58" i="1" s="1"/>
  <c r="AI58" i="1"/>
  <c r="B57" i="1"/>
  <c r="AH57" i="1" a="1"/>
  <c r="AH57" i="1" s="1"/>
  <c r="C57" i="1" s="1"/>
  <c r="AI57" i="1"/>
  <c r="B55" i="1"/>
  <c r="AH55" i="1" a="1"/>
  <c r="AH55" i="1" s="1"/>
  <c r="C55" i="1" s="1"/>
  <c r="AI55" i="1"/>
  <c r="B52" i="1"/>
  <c r="AH52" i="1" a="1"/>
  <c r="AH52" i="1" s="1"/>
  <c r="C52" i="1" s="1"/>
  <c r="AI52" i="1"/>
  <c r="B51" i="1"/>
  <c r="AH51" i="1" a="1"/>
  <c r="AH51" i="1" s="1"/>
  <c r="C51" i="1" s="1"/>
  <c r="AI51" i="1"/>
  <c r="B50" i="1"/>
  <c r="AH50" i="1" a="1"/>
  <c r="AH50" i="1" s="1"/>
  <c r="C50" i="1" s="1"/>
  <c r="AI50" i="1"/>
  <c r="B49" i="1"/>
  <c r="AH49" i="1" a="1"/>
  <c r="AH49" i="1" s="1"/>
  <c r="C49" i="1" s="1"/>
  <c r="AI49" i="1"/>
  <c r="B48" i="1"/>
  <c r="AH48" i="1" a="1"/>
  <c r="AH48" i="1" s="1"/>
  <c r="C48" i="1" s="1"/>
  <c r="AI48" i="1"/>
  <c r="B47" i="1"/>
  <c r="AH47" i="1" a="1"/>
  <c r="AH47" i="1" s="1"/>
  <c r="C47" i="1" s="1"/>
  <c r="AI47" i="1"/>
  <c r="B46" i="1"/>
  <c r="AH46" i="1" a="1"/>
  <c r="AH46" i="1" s="1"/>
  <c r="C46" i="1" s="1"/>
  <c r="AI46" i="1"/>
  <c r="B45" i="1"/>
  <c r="AH45" i="1" a="1"/>
  <c r="AH45" i="1" s="1"/>
  <c r="C45" i="1" s="1"/>
  <c r="AI45" i="1"/>
  <c r="B44" i="1"/>
  <c r="AH44" i="1" a="1"/>
  <c r="AH44" i="1" s="1"/>
  <c r="C44" i="1" s="1"/>
  <c r="AI44" i="1"/>
  <c r="B42" i="1"/>
  <c r="AH42" i="1" a="1"/>
  <c r="AH42" i="1" s="1"/>
  <c r="C42" i="1" s="1"/>
  <c r="AI42" i="1"/>
  <c r="B41" i="1"/>
  <c r="AH41" i="1" a="1"/>
  <c r="AH41" i="1" s="1"/>
  <c r="C41" i="1" s="1"/>
  <c r="AI41" i="1"/>
  <c r="B40" i="1"/>
  <c r="AH40" i="1" a="1"/>
  <c r="AH40" i="1" s="1"/>
  <c r="C40" i="1" s="1"/>
  <c r="AI40" i="1"/>
  <c r="B38" i="1"/>
  <c r="AH38" i="1" a="1"/>
  <c r="AH38" i="1" s="1"/>
  <c r="C38" i="1" s="1"/>
  <c r="AI38" i="1"/>
  <c r="B37" i="1"/>
  <c r="AH37" i="1" a="1"/>
  <c r="AH37" i="1" s="1"/>
  <c r="C37" i="1" s="1"/>
  <c r="AI37" i="1"/>
  <c r="B34" i="1"/>
  <c r="AH34" i="1" a="1"/>
  <c r="AH34" i="1" s="1"/>
  <c r="C34" i="1" s="1"/>
  <c r="AI34" i="1"/>
  <c r="B31" i="1"/>
  <c r="AH31" i="1" a="1"/>
  <c r="AH31" i="1" s="1"/>
  <c r="C31" i="1" s="1"/>
  <c r="AI31" i="1"/>
  <c r="B26" i="1"/>
  <c r="AH26" i="1" a="1"/>
  <c r="AH26" i="1" s="1"/>
  <c r="C26" i="1" s="1"/>
  <c r="AI26" i="1"/>
  <c r="B20" i="1"/>
  <c r="AH20" i="1" a="1"/>
  <c r="AH20" i="1" s="1"/>
  <c r="C20" i="1" s="1"/>
  <c r="AI20" i="1"/>
  <c r="B18" i="1"/>
  <c r="AH18" i="1" a="1"/>
  <c r="AH18" i="1" s="1"/>
  <c r="C18" i="1" s="1"/>
  <c r="AI18" i="1"/>
  <c r="B17" i="1"/>
  <c r="AH17" i="1" a="1"/>
  <c r="AH17" i="1" s="1"/>
  <c r="C17" i="1" s="1"/>
  <c r="AI17" i="1"/>
  <c r="B15" i="1"/>
  <c r="AH15" i="1" a="1"/>
  <c r="AH15" i="1" s="1"/>
  <c r="C15" i="1" s="1"/>
  <c r="AI15" i="1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F11" i="2" a="1"/>
  <c r="F11" i="2" s="1"/>
  <c r="B2" i="10"/>
  <c r="C2" i="10"/>
  <c r="H1" i="1" a="1"/>
  <c r="H2" i="1" a="1"/>
  <c r="H2" i="1" s="1"/>
  <c r="H1" i="1" l="1"/>
  <c r="Y5" i="2" a="1"/>
  <c r="Y5" i="2" s="1"/>
  <c r="Y16" i="2" a="1"/>
  <c r="Y16" i="2" s="1"/>
  <c r="Y4" i="2" a="1"/>
  <c r="Y4" i="2" s="1"/>
  <c r="Y15" i="2" a="1"/>
  <c r="Y15" i="2" s="1"/>
  <c r="Y3" i="2" a="1"/>
  <c r="Y3" i="2" s="1"/>
  <c r="Y14" i="2" a="1"/>
  <c r="Y14" i="2" s="1"/>
  <c r="Y2" i="2" a="1"/>
  <c r="Y2" i="2" s="1"/>
  <c r="Y13" i="2" a="1"/>
  <c r="Y13" i="2" s="1"/>
  <c r="Y12" i="2" a="1"/>
  <c r="Y12" i="2" s="1"/>
  <c r="Y11" i="2" a="1"/>
  <c r="Y11" i="2" s="1"/>
  <c r="Y10" i="2" a="1"/>
  <c r="Y10" i="2" s="1"/>
  <c r="Y21" i="2" a="1"/>
  <c r="Y21" i="2" s="1"/>
  <c r="Y9" i="2" a="1"/>
  <c r="Y9" i="2" s="1"/>
  <c r="Y20" i="2" a="1"/>
  <c r="Y20" i="2" s="1"/>
  <c r="Y8" i="2" a="1"/>
  <c r="Y8" i="2" s="1"/>
  <c r="Y19" i="2" a="1"/>
  <c r="Y19" i="2" s="1"/>
  <c r="Y7" i="2" a="1"/>
  <c r="Y7" i="2" s="1"/>
  <c r="Y18" i="2" a="1"/>
  <c r="Y18" i="2" s="1"/>
  <c r="Y6" i="2" a="1"/>
  <c r="Y6" i="2" s="1"/>
  <c r="Y17" i="2" a="1"/>
  <c r="Y17" i="2" s="1"/>
  <c r="W21" i="2" l="1"/>
  <c r="W20" i="2"/>
  <c r="W19" i="2"/>
  <c r="W18" i="2"/>
  <c r="W17" i="2"/>
  <c r="W15" i="2"/>
  <c r="W14" i="2"/>
  <c r="W13" i="2"/>
  <c r="W12" i="2"/>
  <c r="W11" i="2"/>
  <c r="W10" i="2"/>
  <c r="W9" i="2"/>
  <c r="W8" i="2"/>
  <c r="W7" i="2"/>
  <c r="W6" i="2"/>
  <c r="W5" i="2"/>
  <c r="W4" i="2"/>
  <c r="W3" i="2"/>
  <c r="W2" i="2"/>
  <c r="V2" i="2" l="1"/>
  <c r="V3" i="2"/>
  <c r="V4" i="2"/>
  <c r="V5" i="2"/>
  <c r="V6" i="2"/>
  <c r="V7" i="2"/>
  <c r="V8" i="2"/>
  <c r="V9" i="2"/>
  <c r="V10" i="2"/>
  <c r="V11" i="2"/>
  <c r="V12" i="2"/>
  <c r="V13" i="2"/>
  <c r="V14" i="2"/>
  <c r="V15" i="2"/>
  <c r="V17" i="2"/>
  <c r="V18" i="2"/>
  <c r="V19" i="2"/>
  <c r="V20" i="2"/>
  <c r="V21" i="2"/>
  <c r="O2" i="2" a="1"/>
  <c r="O2" i="2" s="1"/>
  <c r="O3" i="2" a="1"/>
  <c r="O3" i="2" s="1"/>
  <c r="O4" i="2" a="1"/>
  <c r="O4" i="2" s="1"/>
  <c r="O5" i="2" a="1"/>
  <c r="O5" i="2" s="1"/>
  <c r="O6" i="2" a="1"/>
  <c r="O6" i="2" s="1"/>
  <c r="O7" i="2" a="1"/>
  <c r="O7" i="2" s="1"/>
  <c r="O8" i="2" a="1"/>
  <c r="O8" i="2" s="1"/>
  <c r="O9" i="2" a="1"/>
  <c r="O9" i="2" s="1"/>
  <c r="O10" i="2" a="1"/>
  <c r="O10" i="2" s="1"/>
  <c r="O11" i="2" a="1"/>
  <c r="O11" i="2" s="1"/>
  <c r="O12" i="2" a="1"/>
  <c r="O12" i="2" s="1"/>
  <c r="O13" i="2" a="1"/>
  <c r="O13" i="2" s="1"/>
  <c r="O14" i="2" a="1"/>
  <c r="O14" i="2" s="1"/>
  <c r="O15" i="2" a="1"/>
  <c r="O15" i="2" s="1"/>
  <c r="O16" i="2" a="1"/>
  <c r="O16" i="2" s="1"/>
  <c r="O17" i="2" a="1"/>
  <c r="O17" i="2" s="1"/>
  <c r="O18" i="2" a="1"/>
  <c r="O18" i="2" s="1"/>
  <c r="O19" i="2" a="1"/>
  <c r="O19" i="2" s="1"/>
  <c r="O20" i="2" a="1"/>
  <c r="O20" i="2" s="1"/>
  <c r="O21" i="2" a="1"/>
  <c r="O21" i="2" s="1"/>
  <c r="M2" i="2" a="1"/>
  <c r="M2" i="2" s="1"/>
  <c r="M3" i="2" a="1"/>
  <c r="M3" i="2" s="1"/>
  <c r="M4" i="2" a="1"/>
  <c r="M4" i="2" s="1"/>
  <c r="M5" i="2" a="1"/>
  <c r="M5" i="2" s="1"/>
  <c r="M6" i="2" a="1"/>
  <c r="M6" i="2" s="1"/>
  <c r="M7" i="2" a="1"/>
  <c r="M7" i="2" s="1"/>
  <c r="M8" i="2" a="1"/>
  <c r="M8" i="2" s="1"/>
  <c r="M9" i="2" a="1"/>
  <c r="M9" i="2" s="1"/>
  <c r="M10" i="2" a="1"/>
  <c r="M10" i="2" s="1"/>
  <c r="M11" i="2" a="1"/>
  <c r="M11" i="2" s="1"/>
  <c r="M12" i="2" a="1"/>
  <c r="M12" i="2" s="1"/>
  <c r="M13" i="2" a="1"/>
  <c r="M13" i="2" s="1"/>
  <c r="M14" i="2" a="1"/>
  <c r="M14" i="2" s="1"/>
  <c r="M15" i="2" a="1"/>
  <c r="M15" i="2" s="1"/>
  <c r="M16" i="2" a="1"/>
  <c r="M16" i="2" s="1"/>
  <c r="M17" i="2" a="1"/>
  <c r="M17" i="2" s="1"/>
  <c r="M18" i="2" a="1"/>
  <c r="M18" i="2" s="1"/>
  <c r="M19" i="2" a="1"/>
  <c r="M19" i="2" s="1"/>
  <c r="M20" i="2" a="1"/>
  <c r="M20" i="2" s="1"/>
  <c r="M21" i="2" a="1"/>
  <c r="M21" i="2" s="1"/>
  <c r="L2" i="2" a="1"/>
  <c r="L2" i="2" s="1"/>
  <c r="L3" i="2" a="1"/>
  <c r="L3" i="2" s="1"/>
  <c r="L4" i="2" a="1"/>
  <c r="L4" i="2" s="1"/>
  <c r="L5" i="2" a="1"/>
  <c r="L5" i="2" s="1"/>
  <c r="L6" i="2" a="1"/>
  <c r="L6" i="2" s="1"/>
  <c r="L7" i="2" a="1"/>
  <c r="L7" i="2" s="1"/>
  <c r="L8" i="2" a="1"/>
  <c r="L8" i="2" s="1"/>
  <c r="L9" i="2" a="1"/>
  <c r="L9" i="2" s="1"/>
  <c r="L10" i="2" a="1"/>
  <c r="L10" i="2" s="1"/>
  <c r="L11" i="2" a="1"/>
  <c r="L11" i="2" s="1"/>
  <c r="L12" i="2" a="1"/>
  <c r="L12" i="2" s="1"/>
  <c r="L13" i="2" a="1"/>
  <c r="L13" i="2" s="1"/>
  <c r="L14" i="2" a="1"/>
  <c r="L14" i="2" s="1"/>
  <c r="L15" i="2" a="1"/>
  <c r="L15" i="2" s="1"/>
  <c r="L16" i="2" a="1"/>
  <c r="L16" i="2" s="1"/>
  <c r="L17" i="2" a="1"/>
  <c r="L17" i="2" s="1"/>
  <c r="L18" i="2" a="1"/>
  <c r="L18" i="2" s="1"/>
  <c r="L19" i="2" a="1"/>
  <c r="L19" i="2" s="1"/>
  <c r="L20" i="2" a="1"/>
  <c r="L20" i="2" s="1"/>
  <c r="L21" i="2" a="1"/>
  <c r="L21" i="2" s="1"/>
  <c r="K2" i="2" a="1"/>
  <c r="K2" i="2" s="1"/>
  <c r="K3" i="2" a="1"/>
  <c r="K3" i="2" s="1"/>
  <c r="K4" i="2" a="1"/>
  <c r="K4" i="2" s="1"/>
  <c r="K5" i="2" a="1"/>
  <c r="K5" i="2" s="1"/>
  <c r="K6" i="2" a="1"/>
  <c r="K6" i="2" s="1"/>
  <c r="K7" i="2" a="1"/>
  <c r="K7" i="2" s="1"/>
  <c r="K8" i="2" a="1"/>
  <c r="K8" i="2" s="1"/>
  <c r="K9" i="2" a="1"/>
  <c r="K9" i="2" s="1"/>
  <c r="K10" i="2" a="1"/>
  <c r="K10" i="2" s="1"/>
  <c r="K11" i="2" a="1"/>
  <c r="K11" i="2" s="1"/>
  <c r="K12" i="2" a="1"/>
  <c r="K12" i="2" s="1"/>
  <c r="K13" i="2" a="1"/>
  <c r="K13" i="2" s="1"/>
  <c r="K14" i="2" a="1"/>
  <c r="K14" i="2" s="1"/>
  <c r="K15" i="2" a="1"/>
  <c r="K15" i="2" s="1"/>
  <c r="K16" i="2" a="1"/>
  <c r="K16" i="2" s="1"/>
  <c r="K17" i="2" a="1"/>
  <c r="K17" i="2" s="1"/>
  <c r="K18" i="2" a="1"/>
  <c r="K18" i="2" s="1"/>
  <c r="K19" i="2" a="1"/>
  <c r="K19" i="2" s="1"/>
  <c r="K20" i="2" a="1"/>
  <c r="K20" i="2" s="1"/>
  <c r="K21" i="2" a="1"/>
  <c r="K21" i="2" s="1"/>
  <c r="J2" i="2" a="1"/>
  <c r="J2" i="2" s="1"/>
  <c r="J3" i="2" a="1"/>
  <c r="J3" i="2" s="1"/>
  <c r="J4" i="2" a="1"/>
  <c r="J4" i="2" s="1"/>
  <c r="J5" i="2" a="1"/>
  <c r="J5" i="2" s="1"/>
  <c r="J6" i="2" a="1"/>
  <c r="J6" i="2" s="1"/>
  <c r="J7" i="2" a="1"/>
  <c r="J7" i="2" s="1"/>
  <c r="J8" i="2" a="1"/>
  <c r="J8" i="2" s="1"/>
  <c r="J9" i="2" a="1"/>
  <c r="J9" i="2" s="1"/>
  <c r="J10" i="2" a="1"/>
  <c r="J10" i="2" s="1"/>
  <c r="J11" i="2" a="1"/>
  <c r="J11" i="2" s="1"/>
  <c r="J12" i="2" a="1"/>
  <c r="J12" i="2" s="1"/>
  <c r="J13" i="2" a="1"/>
  <c r="J13" i="2" s="1"/>
  <c r="J14" i="2" a="1"/>
  <c r="J14" i="2" s="1"/>
  <c r="J15" i="2" a="1"/>
  <c r="J15" i="2" s="1"/>
  <c r="J16" i="2" a="1"/>
  <c r="J16" i="2" s="1"/>
  <c r="J17" i="2" a="1"/>
  <c r="J17" i="2" s="1"/>
  <c r="J18" i="2" a="1"/>
  <c r="J18" i="2" s="1"/>
  <c r="J19" i="2" a="1"/>
  <c r="J19" i="2" s="1"/>
  <c r="J20" i="2" a="1"/>
  <c r="J20" i="2" s="1"/>
  <c r="J21" i="2" a="1"/>
  <c r="J21" i="2" s="1"/>
  <c r="I2" i="2" a="1"/>
  <c r="I2" i="2" s="1"/>
  <c r="I3" i="2" a="1"/>
  <c r="I3" i="2" s="1"/>
  <c r="I4" i="2" a="1"/>
  <c r="I4" i="2" s="1"/>
  <c r="I5" i="2" a="1"/>
  <c r="I5" i="2" s="1"/>
  <c r="I6" i="2" a="1"/>
  <c r="I6" i="2" s="1"/>
  <c r="I7" i="2" a="1"/>
  <c r="I7" i="2" s="1"/>
  <c r="I8" i="2" a="1"/>
  <c r="I8" i="2" s="1"/>
  <c r="I9" i="2" a="1"/>
  <c r="I9" i="2" s="1"/>
  <c r="I10" i="2" a="1"/>
  <c r="I10" i="2" s="1"/>
  <c r="I11" i="2" a="1"/>
  <c r="I11" i="2" s="1"/>
  <c r="I12" i="2" a="1"/>
  <c r="I12" i="2" s="1"/>
  <c r="I13" i="2" a="1"/>
  <c r="I13" i="2" s="1"/>
  <c r="I14" i="2" a="1"/>
  <c r="I14" i="2" s="1"/>
  <c r="I15" i="2" a="1"/>
  <c r="I15" i="2" s="1"/>
  <c r="I16" i="2" a="1"/>
  <c r="I16" i="2" s="1"/>
  <c r="I17" i="2" a="1"/>
  <c r="I17" i="2" s="1"/>
  <c r="I18" i="2" a="1"/>
  <c r="I18" i="2" s="1"/>
  <c r="I19" i="2" a="1"/>
  <c r="I19" i="2" s="1"/>
  <c r="I20" i="2" a="1"/>
  <c r="I20" i="2" s="1"/>
  <c r="I21" i="2" a="1"/>
  <c r="I21" i="2" s="1"/>
  <c r="H2" i="2" a="1"/>
  <c r="H2" i="2" s="1"/>
  <c r="H3" i="2" a="1"/>
  <c r="H3" i="2" s="1"/>
  <c r="H4" i="2" a="1"/>
  <c r="H4" i="2" s="1"/>
  <c r="H5" i="2" a="1"/>
  <c r="H5" i="2" s="1"/>
  <c r="H6" i="2" a="1"/>
  <c r="H6" i="2" s="1"/>
  <c r="H7" i="2" a="1"/>
  <c r="H7" i="2" s="1"/>
  <c r="H8" i="2" a="1"/>
  <c r="H8" i="2" s="1"/>
  <c r="H9" i="2" a="1"/>
  <c r="H9" i="2" s="1"/>
  <c r="H10" i="2" a="1"/>
  <c r="H10" i="2" s="1"/>
  <c r="H11" i="2" a="1"/>
  <c r="H11" i="2" s="1"/>
  <c r="H12" i="2" a="1"/>
  <c r="H12" i="2" s="1"/>
  <c r="H13" i="2" a="1"/>
  <c r="H13" i="2" s="1"/>
  <c r="H14" i="2" a="1"/>
  <c r="H14" i="2" s="1"/>
  <c r="H15" i="2" a="1"/>
  <c r="H15" i="2" s="1"/>
  <c r="H16" i="2" a="1"/>
  <c r="H16" i="2" s="1"/>
  <c r="H17" i="2" a="1"/>
  <c r="H17" i="2" s="1"/>
  <c r="H18" i="2" a="1"/>
  <c r="H18" i="2" s="1"/>
  <c r="H19" i="2" a="1"/>
  <c r="H19" i="2" s="1"/>
  <c r="H20" i="2" a="1"/>
  <c r="H20" i="2" s="1"/>
  <c r="H21" i="2" a="1"/>
  <c r="H21" i="2" s="1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U2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C2" i="2" a="1"/>
  <c r="C2" i="2" s="1"/>
  <c r="N2" i="2" a="1"/>
  <c r="N2" i="2" s="1"/>
  <c r="N3" i="2" a="1"/>
  <c r="N3" i="2" s="1"/>
  <c r="N4" i="2" a="1"/>
  <c r="N4" i="2" s="1"/>
  <c r="N5" i="2" a="1"/>
  <c r="N5" i="2" s="1"/>
  <c r="N6" i="2" a="1"/>
  <c r="N6" i="2" s="1"/>
  <c r="N7" i="2" a="1"/>
  <c r="N7" i="2" s="1"/>
  <c r="N8" i="2" a="1"/>
  <c r="N8" i="2" s="1"/>
  <c r="N9" i="2" a="1"/>
  <c r="N9" i="2" s="1"/>
  <c r="N10" i="2" a="1"/>
  <c r="N10" i="2" s="1"/>
  <c r="N11" i="2" a="1"/>
  <c r="N11" i="2" s="1"/>
  <c r="N12" i="2" a="1"/>
  <c r="N12" i="2" s="1"/>
  <c r="N13" i="2" a="1"/>
  <c r="N13" i="2" s="1"/>
  <c r="N14" i="2" a="1"/>
  <c r="N14" i="2" s="1"/>
  <c r="N15" i="2" a="1"/>
  <c r="N15" i="2" s="1"/>
  <c r="N16" i="2" a="1"/>
  <c r="N16" i="2" s="1"/>
  <c r="N17" i="2" a="1"/>
  <c r="N17" i="2" s="1"/>
  <c r="N18" i="2" a="1"/>
  <c r="N18" i="2" s="1"/>
  <c r="N19" i="2" a="1"/>
  <c r="N19" i="2" s="1"/>
  <c r="N20" i="2" a="1"/>
  <c r="N20" i="2" s="1"/>
  <c r="N21" i="2" a="1"/>
  <c r="N21" i="2" s="1"/>
  <c r="G2" i="2" a="1"/>
  <c r="G2" i="2" s="1"/>
  <c r="G3" i="2" a="1"/>
  <c r="G3" i="2" s="1"/>
  <c r="G4" i="2" a="1"/>
  <c r="G4" i="2" s="1"/>
  <c r="G5" i="2" a="1"/>
  <c r="G5" i="2" s="1"/>
  <c r="G6" i="2" a="1"/>
  <c r="G6" i="2" s="1"/>
  <c r="G7" i="2" a="1"/>
  <c r="G7" i="2" s="1"/>
  <c r="G8" i="2" a="1"/>
  <c r="G8" i="2" s="1"/>
  <c r="G9" i="2" a="1"/>
  <c r="G9" i="2" s="1"/>
  <c r="G10" i="2" a="1"/>
  <c r="G10" i="2" s="1"/>
  <c r="G11" i="2" a="1"/>
  <c r="G11" i="2" s="1"/>
  <c r="G12" i="2" a="1"/>
  <c r="G12" i="2" s="1"/>
  <c r="G13" i="2" a="1"/>
  <c r="G13" i="2" s="1"/>
  <c r="G14" i="2" a="1"/>
  <c r="G14" i="2" s="1"/>
  <c r="G15" i="2" a="1"/>
  <c r="G15" i="2" s="1"/>
  <c r="G16" i="2" a="1"/>
  <c r="G16" i="2" s="1"/>
  <c r="G17" i="2" a="1"/>
  <c r="G17" i="2" s="1"/>
  <c r="G18" i="2" a="1"/>
  <c r="G18" i="2" s="1"/>
  <c r="G19" i="2" a="1"/>
  <c r="G19" i="2" s="1"/>
  <c r="G20" i="2" a="1"/>
  <c r="G20" i="2" s="1"/>
  <c r="G21" i="2" a="1"/>
  <c r="G21" i="2" s="1"/>
  <c r="F2" i="2" a="1"/>
  <c r="F2" i="2" s="1"/>
  <c r="F3" i="2" a="1"/>
  <c r="F3" i="2" s="1"/>
  <c r="F4" i="2" a="1"/>
  <c r="F4" i="2" s="1"/>
  <c r="F5" i="2" a="1"/>
  <c r="F5" i="2" s="1"/>
  <c r="F6" i="2" a="1"/>
  <c r="F6" i="2" s="1"/>
  <c r="F7" i="2" a="1"/>
  <c r="F7" i="2" s="1"/>
  <c r="F8" i="2" a="1"/>
  <c r="F8" i="2" s="1"/>
  <c r="F9" i="2" a="1"/>
  <c r="F9" i="2" s="1"/>
  <c r="F10" i="2" a="1"/>
  <c r="F10" i="2" s="1"/>
  <c r="F12" i="2" a="1"/>
  <c r="F12" i="2" s="1"/>
  <c r="F13" i="2" a="1"/>
  <c r="F13" i="2" s="1"/>
  <c r="F14" i="2" a="1"/>
  <c r="F14" i="2" s="1"/>
  <c r="F15" i="2" a="1"/>
  <c r="F15" i="2" s="1"/>
  <c r="F16" i="2" a="1"/>
  <c r="F16" i="2" s="1"/>
  <c r="F17" i="2" a="1"/>
  <c r="F17" i="2" s="1"/>
  <c r="F18" i="2" a="1"/>
  <c r="F18" i="2" s="1"/>
  <c r="F19" i="2" a="1"/>
  <c r="F19" i="2" s="1"/>
  <c r="F20" i="2" a="1"/>
  <c r="F20" i="2" s="1"/>
  <c r="F21" i="2" a="1"/>
  <c r="F21" i="2" s="1"/>
  <c r="E2" i="2" a="1"/>
  <c r="E2" i="2" s="1"/>
  <c r="E3" i="2" a="1"/>
  <c r="E3" i="2" s="1"/>
  <c r="E4" i="2" a="1"/>
  <c r="E4" i="2" s="1"/>
  <c r="E5" i="2" a="1"/>
  <c r="E5" i="2" s="1"/>
  <c r="E6" i="2" a="1"/>
  <c r="E6" i="2" s="1"/>
  <c r="E7" i="2" a="1"/>
  <c r="E7" i="2" s="1"/>
  <c r="E8" i="2" a="1"/>
  <c r="E8" i="2" s="1"/>
  <c r="E9" i="2" a="1"/>
  <c r="E9" i="2" s="1"/>
  <c r="E10" i="2" a="1"/>
  <c r="E10" i="2" s="1"/>
  <c r="E11" i="2" a="1"/>
  <c r="E11" i="2" s="1"/>
  <c r="E12" i="2" a="1"/>
  <c r="E12" i="2" s="1"/>
  <c r="E13" i="2" a="1"/>
  <c r="E13" i="2" s="1"/>
  <c r="E14" i="2" a="1"/>
  <c r="E14" i="2" s="1"/>
  <c r="E15" i="2" a="1"/>
  <c r="E15" i="2" s="1"/>
  <c r="E16" i="2" a="1"/>
  <c r="E16" i="2" s="1"/>
  <c r="E17" i="2" a="1"/>
  <c r="E17" i="2" s="1"/>
  <c r="E18" i="2" a="1"/>
  <c r="E18" i="2" s="1"/>
  <c r="E19" i="2" a="1"/>
  <c r="E19" i="2" s="1"/>
  <c r="E20" i="2" a="1"/>
  <c r="E20" i="2" s="1"/>
  <c r="E21" i="2" a="1"/>
  <c r="E21" i="2" s="1"/>
  <c r="D2" i="2" a="1"/>
  <c r="D2" i="2" s="1"/>
  <c r="D3" i="2" a="1"/>
  <c r="D3" i="2" s="1"/>
  <c r="D4" i="2" a="1"/>
  <c r="D4" i="2" s="1"/>
  <c r="D5" i="2" a="1"/>
  <c r="D5" i="2" s="1"/>
  <c r="D6" i="2" a="1"/>
  <c r="D6" i="2" s="1"/>
  <c r="D7" i="2" a="1"/>
  <c r="D7" i="2" s="1"/>
  <c r="D8" i="2" a="1"/>
  <c r="D8" i="2" s="1"/>
  <c r="D9" i="2" a="1"/>
  <c r="D9" i="2" s="1"/>
  <c r="D10" i="2" a="1"/>
  <c r="D10" i="2" s="1"/>
  <c r="D11" i="2" a="1"/>
  <c r="D11" i="2" s="1"/>
  <c r="D12" i="2" a="1"/>
  <c r="D12" i="2" s="1"/>
  <c r="D13" i="2" a="1"/>
  <c r="D13" i="2" s="1"/>
  <c r="D14" i="2" a="1"/>
  <c r="D14" i="2" s="1"/>
  <c r="D15" i="2" a="1"/>
  <c r="D15" i="2" s="1"/>
  <c r="D16" i="2" a="1"/>
  <c r="D16" i="2" s="1"/>
  <c r="D17" i="2" a="1"/>
  <c r="D17" i="2" s="1"/>
  <c r="D18" i="2" a="1"/>
  <c r="D18" i="2" s="1"/>
  <c r="D19" i="2" a="1"/>
  <c r="D19" i="2" s="1"/>
  <c r="D20" i="2" a="1"/>
  <c r="D20" i="2" s="1"/>
  <c r="D21" i="2" a="1"/>
  <c r="D21" i="2" s="1"/>
  <c r="C3" i="2" a="1"/>
  <c r="C3" i="2" s="1"/>
  <c r="C4" i="2" a="1"/>
  <c r="C4" i="2" s="1"/>
  <c r="C5" i="2" a="1"/>
  <c r="C5" i="2" s="1"/>
  <c r="C6" i="2" a="1"/>
  <c r="C6" i="2" s="1"/>
  <c r="C7" i="2" a="1"/>
  <c r="C7" i="2" s="1"/>
  <c r="C8" i="2" a="1"/>
  <c r="C8" i="2" s="1"/>
  <c r="C9" i="2" a="1"/>
  <c r="C9" i="2" s="1"/>
  <c r="C10" i="2" a="1"/>
  <c r="C10" i="2" s="1"/>
  <c r="C11" i="2" a="1"/>
  <c r="C11" i="2" s="1"/>
  <c r="C12" i="2" a="1"/>
  <c r="C12" i="2" s="1"/>
  <c r="C13" i="2" a="1"/>
  <c r="C13" i="2" s="1"/>
  <c r="C14" i="2" a="1"/>
  <c r="C14" i="2" s="1"/>
  <c r="C15" i="2" a="1"/>
  <c r="C15" i="2" s="1"/>
  <c r="C16" i="2" a="1"/>
  <c r="C16" i="2" s="1"/>
  <c r="C17" i="2" a="1"/>
  <c r="C17" i="2" s="1"/>
  <c r="C18" i="2" a="1"/>
  <c r="C18" i="2" s="1"/>
  <c r="C19" i="2" a="1"/>
  <c r="C19" i="2" s="1"/>
  <c r="C20" i="2" a="1"/>
  <c r="C20" i="2" s="1"/>
  <c r="C21" i="2" a="1"/>
  <c r="C21" i="2" s="1"/>
  <c r="Q13" i="2"/>
  <c r="S13" i="2"/>
  <c r="X13" i="2" s="1"/>
  <c r="Z13" i="2" s="1"/>
  <c r="T13" i="2"/>
  <c r="Q14" i="2"/>
  <c r="S14" i="2"/>
  <c r="X14" i="2" s="1"/>
  <c r="Z14" i="2" s="1"/>
  <c r="T14" i="2"/>
  <c r="Q15" i="2"/>
  <c r="S15" i="2"/>
  <c r="X15" i="2" s="1"/>
  <c r="Z15" i="2" s="1"/>
  <c r="T15" i="2"/>
  <c r="Q16" i="2"/>
  <c r="S16" i="2"/>
  <c r="X16" i="2" s="1"/>
  <c r="T16" i="2"/>
  <c r="Q17" i="2"/>
  <c r="S17" i="2"/>
  <c r="X17" i="2" s="1"/>
  <c r="Z17" i="2" s="1"/>
  <c r="T17" i="2"/>
  <c r="Q18" i="2"/>
  <c r="S18" i="2"/>
  <c r="X18" i="2" s="1"/>
  <c r="Z18" i="2" s="1"/>
  <c r="T18" i="2"/>
  <c r="Q19" i="2"/>
  <c r="S19" i="2"/>
  <c r="X19" i="2" s="1"/>
  <c r="Z19" i="2" s="1"/>
  <c r="T19" i="2"/>
  <c r="Q20" i="2"/>
  <c r="S20" i="2"/>
  <c r="X20" i="2" s="1"/>
  <c r="Z20" i="2" s="1"/>
  <c r="T20" i="2"/>
  <c r="Q21" i="2"/>
  <c r="S21" i="2"/>
  <c r="X21" i="2" s="1"/>
  <c r="Z21" i="2" s="1"/>
  <c r="T21" i="2"/>
  <c r="AF21" i="2" l="1"/>
  <c r="AF9" i="2"/>
  <c r="AF20" i="2"/>
  <c r="AF8" i="2"/>
  <c r="AF19" i="2"/>
  <c r="AF7" i="2"/>
  <c r="AF18" i="2"/>
  <c r="AF6" i="2"/>
  <c r="AF17" i="2"/>
  <c r="AF5" i="2"/>
  <c r="AF16" i="2"/>
  <c r="AF4" i="2"/>
  <c r="AF15" i="2"/>
  <c r="AF3" i="2"/>
  <c r="AF14" i="2"/>
  <c r="AF2" i="2"/>
  <c r="AF13" i="2"/>
  <c r="AF12" i="2"/>
  <c r="AF11" i="2"/>
  <c r="AF10" i="2"/>
  <c r="P4" i="2"/>
  <c r="P16" i="2"/>
  <c r="P19" i="2"/>
  <c r="P7" i="2"/>
  <c r="P5" i="2"/>
  <c r="P160" i="1" s="1"/>
  <c r="P17" i="2"/>
  <c r="P18" i="2"/>
  <c r="P6" i="2"/>
  <c r="P3" i="2"/>
  <c r="P15" i="2"/>
  <c r="P14" i="2"/>
  <c r="P12" i="2"/>
  <c r="P13" i="2"/>
  <c r="P10" i="2"/>
  <c r="P21" i="2"/>
  <c r="P9" i="2"/>
  <c r="P20" i="2"/>
  <c r="P8" i="2"/>
  <c r="P11" i="2"/>
  <c r="P2" i="2"/>
  <c r="W16" i="2"/>
  <c r="Z16" i="2" s="1"/>
  <c r="AE9" i="2"/>
  <c r="AE21" i="2"/>
  <c r="AE20" i="2"/>
  <c r="AE18" i="2"/>
  <c r="AE17" i="2"/>
  <c r="AE15" i="2"/>
  <c r="AE8" i="2"/>
  <c r="AE5" i="2"/>
  <c r="AE4" i="2"/>
  <c r="AE3" i="2"/>
  <c r="AE10" i="2"/>
  <c r="AE19" i="2"/>
  <c r="AE7" i="2"/>
  <c r="AE6" i="2"/>
  <c r="AE14" i="2"/>
  <c r="AE2" i="2"/>
  <c r="AE13" i="2"/>
  <c r="AE12" i="2"/>
  <c r="AE11" i="2"/>
  <c r="AA5" i="2" a="1"/>
  <c r="AA5" i="2" s="1"/>
  <c r="V16" i="2"/>
  <c r="AA21" i="2" a="1"/>
  <c r="AA21" i="2" s="1"/>
  <c r="AA13" i="2" a="1"/>
  <c r="AA13" i="2" s="1"/>
  <c r="AC2" i="2" a="1"/>
  <c r="AC2" i="2" s="1"/>
  <c r="AC9" i="2" a="1"/>
  <c r="AC9" i="2" s="1"/>
  <c r="AC15" i="2" a="1"/>
  <c r="AC15" i="2" s="1"/>
  <c r="AC21" i="2" a="1"/>
  <c r="AC21" i="2" s="1"/>
  <c r="AC3" i="2" a="1"/>
  <c r="AC3" i="2" s="1"/>
  <c r="AC16" i="2" a="1"/>
  <c r="AC16" i="2" s="1"/>
  <c r="AB3" i="2" a="1"/>
  <c r="AB3" i="2" s="1"/>
  <c r="AB9" i="2" a="1"/>
  <c r="AB9" i="2" s="1"/>
  <c r="AB15" i="2" a="1"/>
  <c r="AB15" i="2" s="1"/>
  <c r="AC4" i="2" a="1"/>
  <c r="AC4" i="2" s="1"/>
  <c r="AC10" i="2" a="1"/>
  <c r="AC10" i="2" s="1"/>
  <c r="AC17" i="2" a="1"/>
  <c r="AC17" i="2" s="1"/>
  <c r="AC11" i="2" a="1"/>
  <c r="AC11" i="2" s="1"/>
  <c r="AB10" i="2" a="1"/>
  <c r="AB10" i="2" s="1"/>
  <c r="AC5" i="2" a="1"/>
  <c r="AC5" i="2" s="1"/>
  <c r="AC12" i="2" a="1"/>
  <c r="AC12" i="2" s="1"/>
  <c r="AC18" i="2" a="1"/>
  <c r="AC18" i="2" s="1"/>
  <c r="AC6" i="2" a="1"/>
  <c r="AC6" i="2" s="1"/>
  <c r="AC19" i="2" a="1"/>
  <c r="AC19" i="2" s="1"/>
  <c r="AC8" i="2" a="1"/>
  <c r="AC8" i="2" s="1"/>
  <c r="AC14" i="2" a="1"/>
  <c r="AC14" i="2" s="1"/>
  <c r="AC7" i="2" a="1"/>
  <c r="AC7" i="2" s="1"/>
  <c r="AB8" i="2" a="1"/>
  <c r="AB8" i="2" s="1"/>
  <c r="AB17" i="2" a="1"/>
  <c r="AB17" i="2" s="1"/>
  <c r="AC13" i="2" a="1"/>
  <c r="AC13" i="2" s="1"/>
  <c r="AC20" i="2" a="1"/>
  <c r="AC20" i="2" s="1"/>
  <c r="AB2" i="2" a="1"/>
  <c r="AB2" i="2" s="1"/>
  <c r="AB11" i="2" a="1"/>
  <c r="AB11" i="2" s="1"/>
  <c r="AB18" i="2" a="1"/>
  <c r="AB18" i="2" s="1"/>
  <c r="AB4" i="2" a="1"/>
  <c r="AB4" i="2" s="1"/>
  <c r="AB12" i="2" a="1"/>
  <c r="AB12" i="2" s="1"/>
  <c r="AB19" i="2" a="1"/>
  <c r="AB19" i="2" s="1"/>
  <c r="AB5" i="2" a="1"/>
  <c r="AB5" i="2" s="1"/>
  <c r="AB20" i="2" a="1"/>
  <c r="AB20" i="2" s="1"/>
  <c r="AB13" i="2" a="1"/>
  <c r="AB13" i="2" s="1"/>
  <c r="AB21" i="2" a="1"/>
  <c r="AB21" i="2" s="1"/>
  <c r="AB7" i="2" a="1"/>
  <c r="AB7" i="2" s="1"/>
  <c r="AB16" i="2" a="1"/>
  <c r="AB16" i="2" s="1"/>
  <c r="AB6" i="2" a="1"/>
  <c r="AB6" i="2" s="1"/>
  <c r="AB14" i="2" a="1"/>
  <c r="AB14" i="2" s="1"/>
  <c r="AA7" i="2" a="1"/>
  <c r="AA7" i="2" s="1"/>
  <c r="AA15" i="2" a="1"/>
  <c r="AA15" i="2" s="1"/>
  <c r="AA8" i="2" a="1"/>
  <c r="AA8" i="2" s="1"/>
  <c r="AA16" i="2" a="1"/>
  <c r="AA16" i="2" s="1"/>
  <c r="AA9" i="2" a="1"/>
  <c r="AA9" i="2" s="1"/>
  <c r="AA17" i="2" a="1"/>
  <c r="AA17" i="2" s="1"/>
  <c r="AA2" i="2" a="1"/>
  <c r="AA2" i="2" s="1"/>
  <c r="AA10" i="2" a="1"/>
  <c r="AA10" i="2" s="1"/>
  <c r="AA18" i="2" a="1"/>
  <c r="AA18" i="2" s="1"/>
  <c r="AA3" i="2" a="1"/>
  <c r="AA3" i="2" s="1"/>
  <c r="AA11" i="2" a="1"/>
  <c r="AA11" i="2" s="1"/>
  <c r="AA19" i="2" a="1"/>
  <c r="AA19" i="2" s="1"/>
  <c r="AA4" i="2" a="1"/>
  <c r="AA4" i="2" s="1"/>
  <c r="AA12" i="2" a="1"/>
  <c r="AA12" i="2" s="1"/>
  <c r="AA20" i="2" a="1"/>
  <c r="AA20" i="2" s="1"/>
  <c r="AA6" i="2" a="1"/>
  <c r="AA6" i="2" s="1"/>
  <c r="AA14" i="2" a="1"/>
  <c r="AA14" i="2" s="1"/>
  <c r="AD21" i="2"/>
  <c r="AD20" i="2"/>
  <c r="AD17" i="2"/>
  <c r="AD14" i="2"/>
  <c r="AD13" i="2"/>
  <c r="AD19" i="2"/>
  <c r="S2" i="2"/>
  <c r="X2" i="2" s="1"/>
  <c r="Z2" i="2" s="1"/>
  <c r="S3" i="2"/>
  <c r="X3" i="2" s="1"/>
  <c r="Z3" i="2" s="1"/>
  <c r="S4" i="2"/>
  <c r="X4" i="2" s="1"/>
  <c r="Z4" i="2" s="1"/>
  <c r="S5" i="2"/>
  <c r="X5" i="2" s="1"/>
  <c r="Z5" i="2" s="1"/>
  <c r="S6" i="2"/>
  <c r="X6" i="2" s="1"/>
  <c r="Z6" i="2" s="1"/>
  <c r="S7" i="2"/>
  <c r="X7" i="2" s="1"/>
  <c r="Z7" i="2" s="1"/>
  <c r="S8" i="2"/>
  <c r="X8" i="2" s="1"/>
  <c r="Z8" i="2" s="1"/>
  <c r="S9" i="2"/>
  <c r="X9" i="2" s="1"/>
  <c r="Z9" i="2" s="1"/>
  <c r="S10" i="2"/>
  <c r="X10" i="2" s="1"/>
  <c r="Z10" i="2" s="1"/>
  <c r="S11" i="2"/>
  <c r="X11" i="2" s="1"/>
  <c r="Z11" i="2" s="1"/>
  <c r="S12" i="2"/>
  <c r="X12" i="2" s="1"/>
  <c r="Z12" i="2" s="1"/>
  <c r="U1" i="3" a="1"/>
  <c r="T2" i="2"/>
  <c r="T3" i="2"/>
  <c r="T4" i="2"/>
  <c r="T5" i="2"/>
  <c r="T6" i="2"/>
  <c r="T7" i="2"/>
  <c r="T8" i="2"/>
  <c r="T9" i="2"/>
  <c r="T10" i="2"/>
  <c r="T11" i="2"/>
  <c r="T12" i="2"/>
  <c r="Q2" i="2"/>
  <c r="Q3" i="2"/>
  <c r="Q4" i="2"/>
  <c r="Q5" i="2"/>
  <c r="Q6" i="2"/>
  <c r="Q7" i="2"/>
  <c r="Q8" i="2"/>
  <c r="Q9" i="2"/>
  <c r="Q10" i="2"/>
  <c r="Q11" i="2"/>
  <c r="Q12" i="2"/>
  <c r="P5" i="1" l="1"/>
  <c r="P8" i="1"/>
  <c r="P9" i="1"/>
  <c r="P13" i="1"/>
  <c r="P14" i="1"/>
  <c r="P23" i="1"/>
  <c r="P24" i="1"/>
  <c r="P25" i="1"/>
  <c r="P29" i="1"/>
  <c r="P30" i="1"/>
  <c r="P32" i="1"/>
  <c r="P33" i="1"/>
  <c r="P35" i="1"/>
  <c r="P100" i="1"/>
  <c r="P6" i="1"/>
  <c r="P7" i="1"/>
  <c r="P10" i="1"/>
  <c r="P11" i="1"/>
  <c r="P12" i="1"/>
  <c r="P19" i="1"/>
  <c r="P21" i="1"/>
  <c r="P22" i="1"/>
  <c r="P27" i="1"/>
  <c r="P28" i="1"/>
  <c r="P181" i="1"/>
  <c r="P184" i="1"/>
  <c r="P175" i="1"/>
  <c r="P179" i="1"/>
  <c r="P166" i="1"/>
  <c r="P169" i="1"/>
  <c r="P159" i="1"/>
  <c r="P164" i="1"/>
  <c r="P150" i="1"/>
  <c r="P153" i="1"/>
  <c r="P154" i="1"/>
  <c r="P141" i="1"/>
  <c r="P146" i="1"/>
  <c r="P132" i="1"/>
  <c r="P139" i="1"/>
  <c r="P127" i="1"/>
  <c r="P130" i="1"/>
  <c r="P120" i="1"/>
  <c r="P124" i="1"/>
  <c r="P112" i="1"/>
  <c r="P119" i="1"/>
  <c r="P103" i="1"/>
  <c r="P108" i="1"/>
  <c r="P97" i="1"/>
  <c r="P99" i="1"/>
  <c r="P89" i="1"/>
  <c r="P95" i="1"/>
  <c r="P94" i="1"/>
  <c r="P4" i="1"/>
  <c r="P86" i="1"/>
  <c r="P183" i="1"/>
  <c r="P182" i="1"/>
  <c r="P180" i="1"/>
  <c r="P178" i="1"/>
  <c r="P176" i="1"/>
  <c r="P174" i="1"/>
  <c r="P173" i="1"/>
  <c r="P172" i="1"/>
  <c r="P171" i="1"/>
  <c r="P168" i="1"/>
  <c r="P167" i="1"/>
  <c r="P165" i="1"/>
  <c r="P163" i="1"/>
  <c r="P162" i="1"/>
  <c r="P161" i="1"/>
  <c r="P158" i="1"/>
  <c r="P157" i="1"/>
  <c r="P156" i="1"/>
  <c r="P152" i="1"/>
  <c r="P151" i="1"/>
  <c r="P145" i="1"/>
  <c r="P144" i="1"/>
  <c r="P143" i="1"/>
  <c r="P142" i="1"/>
  <c r="P140" i="1"/>
  <c r="P138" i="1"/>
  <c r="P137" i="1"/>
  <c r="P136" i="1"/>
  <c r="P135" i="1"/>
  <c r="P134" i="1"/>
  <c r="P133" i="1"/>
  <c r="P131" i="1"/>
  <c r="P129" i="1"/>
  <c r="P126" i="1"/>
  <c r="P125" i="1"/>
  <c r="P123" i="1"/>
  <c r="P122" i="1"/>
  <c r="P121" i="1"/>
  <c r="P118" i="1"/>
  <c r="P117" i="1"/>
  <c r="P116" i="1"/>
  <c r="P114" i="1"/>
  <c r="P111" i="1"/>
  <c r="P107" i="1"/>
  <c r="P106" i="1"/>
  <c r="P105" i="1"/>
  <c r="P104" i="1"/>
  <c r="P102" i="1"/>
  <c r="P101" i="1"/>
  <c r="P98" i="1"/>
  <c r="P96" i="1"/>
  <c r="P93" i="1"/>
  <c r="P92" i="1"/>
  <c r="P91" i="1"/>
  <c r="P88" i="1"/>
  <c r="P87" i="1"/>
  <c r="P85" i="1"/>
  <c r="P84" i="1"/>
  <c r="P82" i="1"/>
  <c r="P83" i="1"/>
  <c r="P80" i="1"/>
  <c r="P78" i="1"/>
  <c r="P77" i="1"/>
  <c r="P76" i="1"/>
  <c r="P75" i="1"/>
  <c r="P74" i="1"/>
  <c r="P72" i="1"/>
  <c r="P71" i="1"/>
  <c r="P70" i="1"/>
  <c r="P68" i="1"/>
  <c r="P67" i="1"/>
  <c r="P61" i="1"/>
  <c r="P60" i="1"/>
  <c r="P59" i="1"/>
  <c r="P58" i="1"/>
  <c r="P57" i="1"/>
  <c r="P55" i="1"/>
  <c r="P52" i="1"/>
  <c r="P51" i="1"/>
  <c r="P50" i="1"/>
  <c r="P49" i="1"/>
  <c r="P48" i="1"/>
  <c r="P47" i="1"/>
  <c r="P46" i="1"/>
  <c r="P45" i="1"/>
  <c r="P44" i="1"/>
  <c r="P42" i="1"/>
  <c r="P41" i="1"/>
  <c r="P40" i="1"/>
  <c r="P38" i="1"/>
  <c r="P37" i="1"/>
  <c r="P34" i="1"/>
  <c r="P31" i="1"/>
  <c r="P26" i="1"/>
  <c r="P20" i="1"/>
  <c r="P18" i="1"/>
  <c r="P17" i="1"/>
  <c r="P15" i="1"/>
  <c r="U1" i="3"/>
  <c r="AE16" i="2"/>
  <c r="AD18" i="2"/>
  <c r="AD15" i="2"/>
  <c r="F1" i="1"/>
  <c r="T1" i="3" a="1"/>
  <c r="Q16" i="1" l="1"/>
  <c r="Q36" i="1"/>
  <c r="Q43" i="1"/>
  <c r="Q53" i="1"/>
  <c r="Q54" i="1"/>
  <c r="Q56" i="1"/>
  <c r="Q79" i="1"/>
  <c r="Q81" i="1"/>
  <c r="Q90" i="1"/>
  <c r="Q109" i="1"/>
  <c r="Q110" i="1"/>
  <c r="Q113" i="1"/>
  <c r="Q115" i="1"/>
  <c r="Q128" i="1"/>
  <c r="Q147" i="1"/>
  <c r="Q148" i="1"/>
  <c r="Q149" i="1"/>
  <c r="Q155" i="1"/>
  <c r="Q170" i="1"/>
  <c r="Q177" i="1"/>
  <c r="Q185" i="1"/>
  <c r="Q186" i="1"/>
  <c r="Q187" i="1"/>
  <c r="AK43" i="1" a="1"/>
  <c r="AK43" i="1" s="1"/>
  <c r="AK56" i="1" a="1"/>
  <c r="AK56" i="1" s="1"/>
  <c r="AK90" i="1" a="1"/>
  <c r="AK90" i="1" s="1"/>
  <c r="AK115" i="1" a="1"/>
  <c r="AK115" i="1" s="1"/>
  <c r="AK149" i="1" a="1"/>
  <c r="AK149" i="1" s="1"/>
  <c r="AK185" i="1" a="1"/>
  <c r="AK185" i="1" s="1"/>
  <c r="AK54" i="1" a="1"/>
  <c r="AK54" i="1" s="1"/>
  <c r="AK109" i="1" a="1"/>
  <c r="AK109" i="1" s="1"/>
  <c r="AK128" i="1" a="1"/>
  <c r="AK128" i="1" s="1"/>
  <c r="AK155" i="1" a="1"/>
  <c r="AK155" i="1" s="1"/>
  <c r="AK186" i="1" a="1"/>
  <c r="AK186" i="1" s="1"/>
  <c r="AK81" i="1" a="1"/>
  <c r="AK81" i="1" s="1"/>
  <c r="AK113" i="1" a="1"/>
  <c r="AK113" i="1" s="1"/>
  <c r="AK148" i="1" a="1"/>
  <c r="AK148" i="1" s="1"/>
  <c r="AK177" i="1" a="1"/>
  <c r="AK177" i="1" s="1"/>
  <c r="AK16" i="1" a="1"/>
  <c r="AK16" i="1" s="1"/>
  <c r="AK36" i="1" a="1"/>
  <c r="AK36" i="1" s="1"/>
  <c r="AK53" i="1" a="1"/>
  <c r="AK53" i="1" s="1"/>
  <c r="AK79" i="1" a="1"/>
  <c r="AK79" i="1" s="1"/>
  <c r="AK110" i="1" a="1"/>
  <c r="AK110" i="1" s="1"/>
  <c r="AK147" i="1" a="1"/>
  <c r="AK147" i="1" s="1"/>
  <c r="AK170" i="1" a="1"/>
  <c r="AK170" i="1" s="1"/>
  <c r="AK187" i="1" a="1"/>
  <c r="AK187" i="1" s="1"/>
  <c r="Q39" i="1"/>
  <c r="Q62" i="1"/>
  <c r="Q63" i="1"/>
  <c r="Q64" i="1"/>
  <c r="Q65" i="1"/>
  <c r="Q66" i="1"/>
  <c r="Q69" i="1"/>
  <c r="Q73" i="1"/>
  <c r="AK39" i="1" a="1"/>
  <c r="AK39" i="1" s="1"/>
  <c r="AK62" i="1" a="1"/>
  <c r="AK62" i="1" s="1"/>
  <c r="AK63" i="1" a="1"/>
  <c r="AK63" i="1" s="1"/>
  <c r="AK64" i="1" a="1"/>
  <c r="AK64" i="1" s="1"/>
  <c r="AK65" i="1" a="1"/>
  <c r="AK65" i="1" s="1"/>
  <c r="AK66" i="1" a="1"/>
  <c r="AK66" i="1" s="1"/>
  <c r="AK69" i="1" a="1"/>
  <c r="AK69" i="1" s="1"/>
  <c r="AK73" i="1" a="1"/>
  <c r="AK73" i="1" s="1"/>
  <c r="Q5" i="1"/>
  <c r="Q8" i="1"/>
  <c r="Q9" i="1"/>
  <c r="Q13" i="1"/>
  <c r="Q14" i="1"/>
  <c r="Q23" i="1"/>
  <c r="Q24" i="1"/>
  <c r="Q25" i="1"/>
  <c r="Q29" i="1"/>
  <c r="Q30" i="1"/>
  <c r="Q32" i="1"/>
  <c r="Q33" i="1"/>
  <c r="Q35" i="1"/>
  <c r="Q100" i="1"/>
  <c r="AK5" i="1" a="1"/>
  <c r="AK5" i="1" s="1"/>
  <c r="AK8" i="1" a="1"/>
  <c r="AK8" i="1" s="1"/>
  <c r="AK9" i="1" a="1"/>
  <c r="AK9" i="1" s="1"/>
  <c r="AK13" i="1" a="1"/>
  <c r="AK13" i="1" s="1"/>
  <c r="AK14" i="1" a="1"/>
  <c r="AK14" i="1" s="1"/>
  <c r="AK23" i="1" a="1"/>
  <c r="AK23" i="1" s="1"/>
  <c r="AK24" i="1" a="1"/>
  <c r="AK24" i="1" s="1"/>
  <c r="AK25" i="1" a="1"/>
  <c r="AK25" i="1" s="1"/>
  <c r="AK29" i="1" a="1"/>
  <c r="AK29" i="1" s="1"/>
  <c r="AK30" i="1" a="1"/>
  <c r="AK30" i="1" s="1"/>
  <c r="AK32" i="1" a="1"/>
  <c r="AK32" i="1" s="1"/>
  <c r="AK33" i="1" a="1"/>
  <c r="AK33" i="1" s="1"/>
  <c r="AK35" i="1" a="1"/>
  <c r="AK35" i="1" s="1"/>
  <c r="AK100" i="1" a="1"/>
  <c r="AK100" i="1" s="1"/>
  <c r="AK160" i="1" a="1"/>
  <c r="AK160" i="1" s="1"/>
  <c r="Q160" i="1"/>
  <c r="Q6" i="1"/>
  <c r="Q7" i="1"/>
  <c r="Q10" i="1"/>
  <c r="Q11" i="1"/>
  <c r="Q12" i="1"/>
  <c r="Q19" i="1"/>
  <c r="Q21" i="1"/>
  <c r="Q22" i="1"/>
  <c r="Q27" i="1"/>
  <c r="Q28" i="1"/>
  <c r="AK6" i="1" a="1"/>
  <c r="AK6" i="1" s="1"/>
  <c r="AK7" i="1" a="1"/>
  <c r="AK7" i="1" s="1"/>
  <c r="AK10" i="1" a="1"/>
  <c r="AK10" i="1" s="1"/>
  <c r="AK11" i="1" a="1"/>
  <c r="AK11" i="1" s="1"/>
  <c r="AK12" i="1" a="1"/>
  <c r="AK12" i="1" s="1"/>
  <c r="AK19" i="1" a="1"/>
  <c r="AK19" i="1" s="1"/>
  <c r="AK21" i="1" a="1"/>
  <c r="AK21" i="1" s="1"/>
  <c r="AK22" i="1" a="1"/>
  <c r="AK22" i="1" s="1"/>
  <c r="AK27" i="1" a="1"/>
  <c r="AK27" i="1" s="1"/>
  <c r="AK28" i="1" a="1"/>
  <c r="AK28" i="1" s="1"/>
  <c r="Q59" i="1"/>
  <c r="Q184" i="1"/>
  <c r="AK184" i="1" a="1"/>
  <c r="AK184" i="1" s="1"/>
  <c r="Q181" i="1"/>
  <c r="AK181" i="1" a="1"/>
  <c r="AK181" i="1" s="1"/>
  <c r="Q179" i="1"/>
  <c r="AK179" i="1" a="1"/>
  <c r="AK179" i="1" s="1"/>
  <c r="Q175" i="1"/>
  <c r="AK175" i="1" a="1"/>
  <c r="AK175" i="1" s="1"/>
  <c r="Q169" i="1"/>
  <c r="AK169" i="1" a="1"/>
  <c r="AK169" i="1" s="1"/>
  <c r="Q166" i="1"/>
  <c r="AK166" i="1" a="1"/>
  <c r="AK166" i="1" s="1"/>
  <c r="Q164" i="1"/>
  <c r="AK164" i="1" a="1"/>
  <c r="AK164" i="1" s="1"/>
  <c r="Q159" i="1"/>
  <c r="AK159" i="1" a="1"/>
  <c r="AK159" i="1" s="1"/>
  <c r="Q153" i="1"/>
  <c r="Q154" i="1"/>
  <c r="AK153" i="1" a="1"/>
  <c r="AK153" i="1" s="1"/>
  <c r="AK154" i="1" a="1"/>
  <c r="AK154" i="1" s="1"/>
  <c r="Q150" i="1"/>
  <c r="AK150" i="1" a="1"/>
  <c r="AK150" i="1" s="1"/>
  <c r="Q146" i="1"/>
  <c r="AK146" i="1" a="1"/>
  <c r="AK146" i="1" s="1"/>
  <c r="Q141" i="1"/>
  <c r="AK141" i="1" a="1"/>
  <c r="AK141" i="1" s="1"/>
  <c r="Q139" i="1"/>
  <c r="AK139" i="1" a="1"/>
  <c r="AK139" i="1" s="1"/>
  <c r="Q132" i="1"/>
  <c r="AK132" i="1" a="1"/>
  <c r="AK132" i="1" s="1"/>
  <c r="Q130" i="1"/>
  <c r="AK130" i="1" a="1"/>
  <c r="AK130" i="1" s="1"/>
  <c r="Q127" i="1"/>
  <c r="AK127" i="1" a="1"/>
  <c r="AK127" i="1" s="1"/>
  <c r="Q124" i="1"/>
  <c r="AK124" i="1" a="1"/>
  <c r="AK124" i="1" s="1"/>
  <c r="Q120" i="1"/>
  <c r="AK120" i="1" a="1"/>
  <c r="AK120" i="1" s="1"/>
  <c r="Q119" i="1"/>
  <c r="AK119" i="1" a="1"/>
  <c r="AK119" i="1" s="1"/>
  <c r="Q112" i="1"/>
  <c r="AK112" i="1" a="1"/>
  <c r="AK112" i="1" s="1"/>
  <c r="Q108" i="1"/>
  <c r="AK108" i="1" a="1"/>
  <c r="AK108" i="1" s="1"/>
  <c r="Q103" i="1"/>
  <c r="AK103" i="1" a="1"/>
  <c r="AK103" i="1" s="1"/>
  <c r="Q99" i="1"/>
  <c r="AK99" i="1" a="1"/>
  <c r="AK99" i="1" s="1"/>
  <c r="Q97" i="1"/>
  <c r="AK97" i="1" a="1"/>
  <c r="AK97" i="1" s="1"/>
  <c r="Q94" i="1"/>
  <c r="Q95" i="1"/>
  <c r="AK94" i="1" a="1"/>
  <c r="AK94" i="1" s="1"/>
  <c r="AK95" i="1" a="1"/>
  <c r="AK95" i="1" s="1"/>
  <c r="Q89" i="1"/>
  <c r="AK89" i="1" a="1"/>
  <c r="AK89" i="1" s="1"/>
  <c r="Q86" i="1"/>
  <c r="AK86" i="1" a="1"/>
  <c r="AK86" i="1" s="1"/>
  <c r="Q4" i="1"/>
  <c r="AK4" i="1" a="1"/>
  <c r="AK4" i="1" s="1"/>
  <c r="Q129" i="1"/>
  <c r="AK122" i="1" a="1"/>
  <c r="AK122" i="1" s="1"/>
  <c r="AK117" i="1" a="1"/>
  <c r="AK117" i="1" s="1"/>
  <c r="Q107" i="1"/>
  <c r="Q106" i="1"/>
  <c r="AK106" i="1" a="1"/>
  <c r="AK106" i="1" s="1"/>
  <c r="Q105" i="1"/>
  <c r="AK104" i="1" a="1"/>
  <c r="AK104" i="1" s="1"/>
  <c r="AK98" i="1" a="1"/>
  <c r="AK98" i="1" s="1"/>
  <c r="Q92" i="1"/>
  <c r="Q88" i="1"/>
  <c r="Q87" i="1"/>
  <c r="Q85" i="1"/>
  <c r="AK84" i="1" a="1"/>
  <c r="AK84" i="1" s="1"/>
  <c r="Q78" i="1"/>
  <c r="AK78" i="1" a="1"/>
  <c r="AK78" i="1" s="1"/>
  <c r="Q74" i="1"/>
  <c r="AK72" i="1" a="1"/>
  <c r="AK72" i="1" s="1"/>
  <c r="Q61" i="1"/>
  <c r="AK58" i="1" a="1"/>
  <c r="AK58" i="1" s="1"/>
  <c r="Q125" i="1"/>
  <c r="Q122" i="1"/>
  <c r="AK121" i="1" a="1"/>
  <c r="AK121" i="1" s="1"/>
  <c r="Q117" i="1"/>
  <c r="Q111" i="1"/>
  <c r="AK107" i="1" a="1"/>
  <c r="AK107" i="1" s="1"/>
  <c r="Q102" i="1"/>
  <c r="Q101" i="1"/>
  <c r="Q96" i="1"/>
  <c r="AK91" i="1" a="1"/>
  <c r="AK91" i="1" s="1"/>
  <c r="AK85" i="1" a="1"/>
  <c r="AK85" i="1" s="1"/>
  <c r="AK80" i="1" a="1"/>
  <c r="AK80" i="1" s="1"/>
  <c r="Q75" i="1"/>
  <c r="Q72" i="1"/>
  <c r="Q71" i="1"/>
  <c r="AK68" i="1" a="1"/>
  <c r="AK68" i="1" s="1"/>
  <c r="Q60" i="1"/>
  <c r="AK60" i="1" a="1"/>
  <c r="AK60" i="1" s="1"/>
  <c r="Q123" i="1"/>
  <c r="AK123" i="1" a="1"/>
  <c r="AK123" i="1" s="1"/>
  <c r="Q116" i="1"/>
  <c r="AK114" i="1" a="1"/>
  <c r="AK114" i="1" s="1"/>
  <c r="Q104" i="1"/>
  <c r="AK102" i="1" a="1"/>
  <c r="AK102" i="1" s="1"/>
  <c r="AK96" i="1" a="1"/>
  <c r="AK96" i="1" s="1"/>
  <c r="Q91" i="1"/>
  <c r="AK88" i="1" a="1"/>
  <c r="AK88" i="1" s="1"/>
  <c r="Q84" i="1"/>
  <c r="Q83" i="1"/>
  <c r="Q80" i="1"/>
  <c r="Q77" i="1"/>
  <c r="AK76" i="1" a="1"/>
  <c r="AK76" i="1" s="1"/>
  <c r="AK71" i="1" a="1"/>
  <c r="AK71" i="1" s="1"/>
  <c r="AK67" i="1" a="1"/>
  <c r="AK67" i="1" s="1"/>
  <c r="AK59" i="1" a="1"/>
  <c r="AK59" i="1" s="1"/>
  <c r="AK116" i="1" a="1"/>
  <c r="AK116" i="1" s="1"/>
  <c r="Q98" i="1"/>
  <c r="AK93" i="1" a="1"/>
  <c r="AK93" i="1" s="1"/>
  <c r="AK82" i="1" a="1"/>
  <c r="AK82" i="1" s="1"/>
  <c r="AK77" i="1" a="1"/>
  <c r="AK77" i="1" s="1"/>
  <c r="AK74" i="1" a="1"/>
  <c r="AK74" i="1" s="1"/>
  <c r="Q70" i="1"/>
  <c r="Q68" i="1"/>
  <c r="Q67" i="1"/>
  <c r="AK61" i="1" a="1"/>
  <c r="AK61" i="1" s="1"/>
  <c r="Q58" i="1"/>
  <c r="Q57" i="1"/>
  <c r="AK57" i="1" a="1"/>
  <c r="AK57" i="1" s="1"/>
  <c r="Q126" i="1"/>
  <c r="Q121" i="1"/>
  <c r="Q118" i="1"/>
  <c r="AK118" i="1" a="1"/>
  <c r="AK118" i="1" s="1"/>
  <c r="Q114" i="1"/>
  <c r="AK111" i="1" a="1"/>
  <c r="AK111" i="1" s="1"/>
  <c r="AK105" i="1" a="1"/>
  <c r="AK105" i="1" s="1"/>
  <c r="AK101" i="1" a="1"/>
  <c r="AK101" i="1" s="1"/>
  <c r="Q93" i="1"/>
  <c r="AK92" i="1" a="1"/>
  <c r="AK92" i="1" s="1"/>
  <c r="AK87" i="1" a="1"/>
  <c r="AK87" i="1" s="1"/>
  <c r="Q82" i="1"/>
  <c r="AK83" i="1" a="1"/>
  <c r="AK83" i="1" s="1"/>
  <c r="Q76" i="1"/>
  <c r="AK75" i="1" a="1"/>
  <c r="AK75" i="1" s="1"/>
  <c r="AK70" i="1" a="1"/>
  <c r="AK70" i="1" s="1"/>
  <c r="AK125" i="1" a="1"/>
  <c r="AK125" i="1" s="1"/>
  <c r="AK126" i="1" a="1"/>
  <c r="AK126" i="1" s="1"/>
  <c r="AK162" i="1" a="1"/>
  <c r="AK162" i="1" s="1"/>
  <c r="AK151" i="1" a="1"/>
  <c r="AK151" i="1" s="1"/>
  <c r="AK140" i="1" a="1"/>
  <c r="AK140" i="1" s="1"/>
  <c r="Q133" i="1"/>
  <c r="AK129" i="1" a="1"/>
  <c r="AK129" i="1" s="1"/>
  <c r="Q165" i="1"/>
  <c r="AK161" i="1" a="1"/>
  <c r="AK161" i="1" s="1"/>
  <c r="Q143" i="1"/>
  <c r="AK142" i="1" a="1"/>
  <c r="AK142" i="1" s="1"/>
  <c r="AK135" i="1" a="1"/>
  <c r="AK135" i="1" s="1"/>
  <c r="Q167" i="1"/>
  <c r="AK158" i="1" a="1"/>
  <c r="AK158" i="1" s="1"/>
  <c r="AK144" i="1" a="1"/>
  <c r="AK144" i="1" s="1"/>
  <c r="AK136" i="1" a="1"/>
  <c r="AK136" i="1" s="1"/>
  <c r="Q162" i="1"/>
  <c r="AK157" i="1" a="1"/>
  <c r="AK157" i="1" s="1"/>
  <c r="AK145" i="1" a="1"/>
  <c r="AK145" i="1" s="1"/>
  <c r="AK138" i="1" a="1"/>
  <c r="AK138" i="1" s="1"/>
  <c r="AK134" i="1" a="1"/>
  <c r="AK134" i="1" s="1"/>
  <c r="Q168" i="1"/>
  <c r="Q157" i="1"/>
  <c r="Q156" i="1"/>
  <c r="AK152" i="1" a="1"/>
  <c r="AK152" i="1" s="1"/>
  <c r="Q140" i="1"/>
  <c r="Q137" i="1"/>
  <c r="Q136" i="1"/>
  <c r="Q135" i="1"/>
  <c r="AK133" i="1" a="1"/>
  <c r="AK133" i="1" s="1"/>
  <c r="Q163" i="1"/>
  <c r="Q158" i="1"/>
  <c r="AK156" i="1" a="1"/>
  <c r="AK156" i="1" s="1"/>
  <c r="Q142" i="1"/>
  <c r="Q138" i="1"/>
  <c r="AK137" i="1" a="1"/>
  <c r="AK137" i="1" s="1"/>
  <c r="AK131" i="1" a="1"/>
  <c r="AK131" i="1" s="1"/>
  <c r="Q161" i="1"/>
  <c r="Q152" i="1"/>
  <c r="Q151" i="1"/>
  <c r="Q145" i="1"/>
  <c r="Q144" i="1"/>
  <c r="AK143" i="1" a="1"/>
  <c r="AK143" i="1" s="1"/>
  <c r="Q134" i="1"/>
  <c r="Q131" i="1"/>
  <c r="AK163" i="1" a="1"/>
  <c r="AK163" i="1" s="1"/>
  <c r="AK168" i="1" a="1"/>
  <c r="AK168" i="1" s="1"/>
  <c r="AK167" i="1" a="1"/>
  <c r="AK167" i="1" s="1"/>
  <c r="AK165" i="1" a="1"/>
  <c r="AK165" i="1" s="1"/>
  <c r="Q172" i="1"/>
  <c r="Q173" i="1"/>
  <c r="AK172" i="1" a="1"/>
  <c r="AK172" i="1" s="1"/>
  <c r="Q171" i="1"/>
  <c r="AK171" i="1" a="1"/>
  <c r="AK171" i="1" s="1"/>
  <c r="Q180" i="1"/>
  <c r="Q178" i="1"/>
  <c r="Q174" i="1"/>
  <c r="Q183" i="1"/>
  <c r="AK178" i="1" a="1"/>
  <c r="AK178" i="1" s="1"/>
  <c r="Q182" i="1"/>
  <c r="Q176" i="1"/>
  <c r="AK176" i="1" a="1"/>
  <c r="AK176" i="1" s="1"/>
  <c r="AK182" i="1" a="1"/>
  <c r="AK182" i="1" s="1"/>
  <c r="AK173" i="1" a="1"/>
  <c r="AK173" i="1" s="1"/>
  <c r="AK180" i="1" a="1"/>
  <c r="AK180" i="1" s="1"/>
  <c r="AK174" i="1" a="1"/>
  <c r="AK174" i="1" s="1"/>
  <c r="AK183" i="1" a="1"/>
  <c r="AK183" i="1" s="1"/>
  <c r="Q55" i="1"/>
  <c r="AK55" i="1" a="1"/>
  <c r="AK55" i="1" s="1"/>
  <c r="Q52" i="1"/>
  <c r="AK52" i="1" a="1"/>
  <c r="AK52" i="1" s="1"/>
  <c r="Q51" i="1"/>
  <c r="AK51" i="1" a="1"/>
  <c r="AK51" i="1" s="1"/>
  <c r="Q50" i="1"/>
  <c r="AK50" i="1" a="1"/>
  <c r="AK50" i="1" s="1"/>
  <c r="Q49" i="1"/>
  <c r="AK49" i="1" a="1"/>
  <c r="AK49" i="1" s="1"/>
  <c r="Q48" i="1"/>
  <c r="AK48" i="1" a="1"/>
  <c r="AK48" i="1" s="1"/>
  <c r="Q47" i="1"/>
  <c r="AK47" i="1" a="1"/>
  <c r="AK47" i="1" s="1"/>
  <c r="Q46" i="1"/>
  <c r="AK46" i="1" a="1"/>
  <c r="AK46" i="1" s="1"/>
  <c r="Q45" i="1"/>
  <c r="AK45" i="1" a="1"/>
  <c r="AK45" i="1" s="1"/>
  <c r="Q44" i="1"/>
  <c r="AK44" i="1" a="1"/>
  <c r="AK44" i="1" s="1"/>
  <c r="Q42" i="1"/>
  <c r="AK42" i="1" a="1"/>
  <c r="AK42" i="1" s="1"/>
  <c r="Q41" i="1"/>
  <c r="AK41" i="1" a="1"/>
  <c r="AK41" i="1" s="1"/>
  <c r="Q40" i="1"/>
  <c r="AK40" i="1" a="1"/>
  <c r="AK40" i="1" s="1"/>
  <c r="Q38" i="1"/>
  <c r="AK38" i="1" a="1"/>
  <c r="AK38" i="1" s="1"/>
  <c r="Q37" i="1"/>
  <c r="AK37" i="1" a="1"/>
  <c r="AK37" i="1" s="1"/>
  <c r="Q34" i="1"/>
  <c r="AK34" i="1" a="1"/>
  <c r="AK34" i="1" s="1"/>
  <c r="Q31" i="1"/>
  <c r="AK31" i="1" a="1"/>
  <c r="AK31" i="1" s="1"/>
  <c r="Q26" i="1"/>
  <c r="AK26" i="1" a="1"/>
  <c r="AK26" i="1" s="1"/>
  <c r="Q20" i="1"/>
  <c r="AK20" i="1" a="1"/>
  <c r="AK20" i="1" s="1"/>
  <c r="Q18" i="1"/>
  <c r="AK18" i="1" a="1"/>
  <c r="AK18" i="1" s="1"/>
  <c r="Q17" i="1"/>
  <c r="AK17" i="1" a="1"/>
  <c r="AK17" i="1" s="1"/>
  <c r="Q15" i="1"/>
  <c r="AK15" i="1" a="1"/>
  <c r="AK15" i="1" s="1"/>
  <c r="T1" i="3"/>
  <c r="AD16" i="2"/>
  <c r="AD12" i="2"/>
  <c r="AD11" i="2"/>
  <c r="AD6" i="2"/>
  <c r="AD9" i="2"/>
  <c r="AD3" i="2"/>
  <c r="AD4" i="2"/>
  <c r="AD5" i="2"/>
  <c r="AD7" i="2"/>
  <c r="AD10" i="2"/>
  <c r="AD8" i="2"/>
  <c r="AD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509921E-B657-48AC-B8CB-CBB47FF9F4C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FF1FD9F3-C46A-43FF-8A90-A15336DD0D4B}" name="WorksheetConnection_Annuaire &amp; Suivi 2.0.xlsx!annuaire" type="102" refreshedVersion="8" minRefreshableVersion="5">
    <extLst>
      <ext xmlns:x15="http://schemas.microsoft.com/office/spreadsheetml/2010/11/main" uri="{DE250136-89BD-433C-8126-D09CA5730AF9}">
        <x15:connection id="annuaire">
          <x15:rangePr sourceName="_xlcn.WorksheetConnection_AnnuaireSuivi2.0.xlsxannuaire"/>
        </x15:connection>
      </ext>
    </extLst>
  </connection>
  <connection id="3" xr16:uid="{43CD1E3C-4CC9-422A-B628-74B8A2A22CBD}" name="WorksheetConnection_Annuaire &amp; Suivi 2.0.xlsx!saisons" type="102" refreshedVersion="8" minRefreshableVersion="5">
    <extLst>
      <ext xmlns:x15="http://schemas.microsoft.com/office/spreadsheetml/2010/11/main" uri="{DE250136-89BD-433C-8126-D09CA5730AF9}">
        <x15:connection id="saisons">
          <x15:rangePr sourceName="_xlcn.WorksheetConnection_AnnuaireSuivi2.0.xlsxsaisons"/>
        </x15:connection>
      </ext>
    </extLst>
  </connection>
  <connection id="4" xr16:uid="{45DA1E3E-870E-4223-8FB8-7BA71834FD71}" name="WorksheetConnection_Annuaire &amp; Suivi 2.0.xlsx!suivi" type="102" refreshedVersion="8" minRefreshableVersion="5">
    <extLst>
      <ext xmlns:x15="http://schemas.microsoft.com/office/spreadsheetml/2010/11/main" uri="{DE250136-89BD-433C-8126-D09CA5730AF9}">
        <x15:connection id="suivi">
          <x15:rangePr sourceName="_xlcn.WorksheetConnection_AnnuaireSuivi2.0.xlsxsuivi"/>
        </x15:connection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<sst xmlns="http://schemas.openxmlformats.org/spreadsheetml/2006/main" count="546" uniqueCount="197">
  <si>
    <t>Evènement</t>
  </si>
  <si>
    <t>date</t>
  </si>
  <si>
    <t>compta.compte</t>
  </si>
  <si>
    <t>compta.credit</t>
  </si>
  <si>
    <t>compta.debit</t>
  </si>
  <si>
    <t>Chèque</t>
  </si>
  <si>
    <t>Cotisation</t>
  </si>
  <si>
    <t>Présence</t>
  </si>
  <si>
    <t>nom</t>
  </si>
  <si>
    <t>prenom</t>
  </si>
  <si>
    <t>adresse.numero</t>
  </si>
  <si>
    <t>adresse.cp</t>
  </si>
  <si>
    <t>adresse.ville</t>
  </si>
  <si>
    <t>Marie</t>
  </si>
  <si>
    <t>Forum Asso</t>
  </si>
  <si>
    <t>Bouche à oreille</t>
  </si>
  <si>
    <t>Réseaux sociaux</t>
  </si>
  <si>
    <t>Autre</t>
  </si>
  <si>
    <t>Invité</t>
  </si>
  <si>
    <t>Membre</t>
  </si>
  <si>
    <t>Bureau - Communication</t>
  </si>
  <si>
    <t>Bureau - Président</t>
  </si>
  <si>
    <t>Bureau - Secrétaire</t>
  </si>
  <si>
    <t>Bureau - Trésorier</t>
  </si>
  <si>
    <t>Bureau - Admin</t>
  </si>
  <si>
    <t>Bureau - Autre</t>
  </si>
  <si>
    <t>id</t>
  </si>
  <si>
    <t>date_naissance</t>
  </si>
  <si>
    <t>connaissance</t>
  </si>
  <si>
    <t>adresse.type_voie</t>
  </si>
  <si>
    <t>avenue</t>
  </si>
  <si>
    <t>rue</t>
  </si>
  <si>
    <t>boulevard</t>
  </si>
  <si>
    <t>place</t>
  </si>
  <si>
    <t>allée</t>
  </si>
  <si>
    <t>impasse</t>
  </si>
  <si>
    <t>passage</t>
  </si>
  <si>
    <t>sente</t>
  </si>
  <si>
    <t>adresse.nom_voie</t>
  </si>
  <si>
    <t>adresse.autre</t>
  </si>
  <si>
    <t>Banque</t>
  </si>
  <si>
    <t>Gestion</t>
  </si>
  <si>
    <t>2024-2025</t>
  </si>
  <si>
    <t>helloAsso</t>
  </si>
  <si>
    <t>pseudo_discord</t>
  </si>
  <si>
    <t>creation.date</t>
  </si>
  <si>
    <t>nom_userfriendly</t>
  </si>
  <si>
    <t>vbrett</t>
  </si>
  <si>
    <t>ProBot ✨</t>
  </si>
  <si>
    <t>asso</t>
  </si>
  <si>
    <t>discord</t>
  </si>
  <si>
    <t>saison.presence</t>
  </si>
  <si>
    <t>saison.cotis</t>
  </si>
  <si>
    <t>saison.asso_role</t>
  </si>
  <si>
    <t>liste_diffusion</t>
  </si>
  <si>
    <t>stats.cotis.nb</t>
  </si>
  <si>
    <t>stats.cotis.derniere</t>
  </si>
  <si>
    <t>stats.presence.nb</t>
  </si>
  <si>
    <t>stats.der_activite</t>
  </si>
  <si>
    <t>telephone</t>
  </si>
  <si>
    <t>emails</t>
  </si>
  <si>
    <t>membre.id</t>
  </si>
  <si>
    <t>membre.asso_role</t>
  </si>
  <si>
    <t>membre.prive.nom</t>
  </si>
  <si>
    <t>membre.prive.prenom</t>
  </si>
  <si>
    <t>membre.prive.date_naissance</t>
  </si>
  <si>
    <t>membre.prive.adresse.numero</t>
  </si>
  <si>
    <t>membre.prive.adresse.type_voie</t>
  </si>
  <si>
    <t>membre.prive.adresse.nom_voie</t>
  </si>
  <si>
    <t>membre.prive.adresse.autre</t>
  </si>
  <si>
    <t>membre.prive.adresse.cp</t>
  </si>
  <si>
    <t>membre.prive.adresse.ville</t>
  </si>
  <si>
    <t>membre.prive.pseudo_discord</t>
  </si>
  <si>
    <t>membre.prive.assurance_resp_civile</t>
  </si>
  <si>
    <t>membre.prive.[emails]</t>
  </si>
  <si>
    <t>membre.prive.[telephone]</t>
  </si>
  <si>
    <t>membre.source_connaissance</t>
  </si>
  <si>
    <t>membre.prive.approbation_statuts</t>
  </si>
  <si>
    <t>membre.prive.utilisation_image</t>
  </si>
  <si>
    <t>chemin</t>
  </si>
  <si>
    <t>Espèce</t>
  </si>
  <si>
    <t>Info Membre</t>
  </si>
  <si>
    <t>saison.utilisation_image</t>
  </si>
  <si>
    <t>saison.assurance_resp_civile</t>
  </si>
  <si>
    <t>saison.approbation_statuts</t>
  </si>
  <si>
    <t>#support.saison_en_cours</t>
  </si>
  <si>
    <t>entree.categorie</t>
  </si>
  <si>
    <t>entree.nom</t>
  </si>
  <si>
    <t>entree.detail</t>
  </si>
  <si>
    <t>Info Emargement</t>
  </si>
  <si>
    <t>Gobelin / Dédale / Afterwork</t>
  </si>
  <si>
    <t>#support.evement</t>
  </si>
  <si>
    <t>2025-2026</t>
  </si>
  <si>
    <t>#support.nb_in_suivi</t>
  </si>
  <si>
    <t>Chevalier Errant</t>
  </si>
  <si>
    <t>saison.precedente</t>
  </si>
  <si>
    <t>Chevalier de l'assaut</t>
  </si>
  <si>
    <t>Ecuyer de l'assaut</t>
  </si>
  <si>
    <t>Id non attribués:</t>
  </si>
  <si>
    <t>Id manquants dans annuaire:</t>
  </si>
  <si>
    <t>#support.id</t>
  </si>
  <si>
    <t>#support.nom</t>
  </si>
  <si>
    <t>debut</t>
  </si>
  <si>
    <t>fin</t>
  </si>
  <si>
    <t>Saison en cours:</t>
  </si>
  <si>
    <t>#support.saison</t>
  </si>
  <si>
    <t>VbrBot</t>
  </si>
  <si>
    <t>In Discord</t>
  </si>
  <si>
    <t>@everyone</t>
  </si>
  <si>
    <t>#support.traite_manuel</t>
  </si>
  <si>
    <t>#support.traite</t>
  </si>
  <si>
    <t>Matériel</t>
  </si>
  <si>
    <t>saison.asso_role_manuel</t>
  </si>
  <si>
    <t>Plein</t>
  </si>
  <si>
    <t>Réduit</t>
  </si>
  <si>
    <t>Offert</t>
  </si>
  <si>
    <t>Inconnu</t>
  </si>
  <si>
    <t>val</t>
  </si>
  <si>
    <t>bureau</t>
  </si>
  <si>
    <t>admin</t>
  </si>
  <si>
    <t>Forum</t>
  </si>
  <si>
    <t>cotisation</t>
  </si>
  <si>
    <t>compta.commentaire</t>
  </si>
  <si>
    <t>log.commentaire</t>
  </si>
  <si>
    <t>commentaire_old</t>
  </si>
  <si>
    <t>AjBot</t>
  </si>
  <si>
    <t>is_member</t>
  </si>
  <si>
    <t>is_subscriber</t>
  </si>
  <si>
    <t>is_manager</t>
  </si>
  <si>
    <t>is_owner</t>
  </si>
  <si>
    <t>is_past_subscriber</t>
  </si>
  <si>
    <t>691003175037042788</t>
  </si>
  <si>
    <t>Cotisant</t>
  </si>
  <si>
    <t>Cotisant saison préc</t>
  </si>
  <si>
    <t>Bot - ProBot</t>
  </si>
  <si>
    <t>1430301775864270919</t>
  </si>
  <si>
    <t>stats.cotis.premiere</t>
  </si>
  <si>
    <t>1465046676988235887</t>
  </si>
  <si>
    <t>bureau,admin</t>
  </si>
  <si>
    <t>1465047049081979223</t>
  </si>
  <si>
    <t>1419044271595716765</t>
  </si>
  <si>
    <t>1465047359468732638</t>
  </si>
  <si>
    <t>1465047502712471552</t>
  </si>
  <si>
    <t>1419010453023227968</t>
  </si>
  <si>
    <t>Bot - VbrBot</t>
  </si>
  <si>
    <t>Bon</t>
  </si>
  <si>
    <t>Jean</t>
  </si>
  <si>
    <t>jean.bon@porci.net</t>
  </si>
  <si>
    <t>de l'abatoir</t>
  </si>
  <si>
    <t>Appt 2</t>
  </si>
  <si>
    <t>Ailleurs</t>
  </si>
  <si>
    <t>Oui</t>
  </si>
  <si>
    <t>Non</t>
  </si>
  <si>
    <t>2015-2016</t>
  </si>
  <si>
    <t>2016-2017</t>
  </si>
  <si>
    <t>2017-2018</t>
  </si>
  <si>
    <t>2018-2019</t>
  </si>
  <si>
    <t>2019-2020</t>
  </si>
  <si>
    <t>2020-2021</t>
  </si>
  <si>
    <t>2021-2022</t>
  </si>
  <si>
    <t>2022-2023</t>
  </si>
  <si>
    <t>2023-2024</t>
  </si>
  <si>
    <t>Forum associations 2019</t>
  </si>
  <si>
    <t>Epiphanie 2024</t>
  </si>
  <si>
    <t>Epiphanie 2025</t>
  </si>
  <si>
    <t>Soirée Jeux Duo</t>
  </si>
  <si>
    <t>Assemblée Générale 2025</t>
  </si>
  <si>
    <t>Vote présentiel</t>
  </si>
  <si>
    <t>Soirée Jeux Halloween</t>
  </si>
  <si>
    <t>Epiphanie 2026</t>
  </si>
  <si>
    <t>Annuaire Original</t>
  </si>
  <si>
    <t>#455</t>
  </si>
  <si>
    <t>Vote par pouvoir</t>
  </si>
  <si>
    <t>Entrée Discord</t>
  </si>
  <si>
    <t>Définition role asso</t>
  </si>
  <si>
    <t>#0000274</t>
  </si>
  <si>
    <t>#0000281</t>
  </si>
  <si>
    <t>Dupont</t>
  </si>
  <si>
    <t>Sais plus qui c'était!</t>
  </si>
  <si>
    <t>Forum associations 2023</t>
  </si>
  <si>
    <t>Emission Chèque 7036105 - Trésor Public</t>
  </si>
  <si>
    <t>Boisson galettes</t>
  </si>
  <si>
    <t>Galette Marianne</t>
  </si>
  <si>
    <t>Assemblée Générale 2024</t>
  </si>
  <si>
    <t>Remboursement Fabien boissons</t>
  </si>
  <si>
    <t>Forum associations 2024</t>
  </si>
  <si>
    <t>Emission Chèque 7036107 - Trésor Public - 03/09/2024</t>
  </si>
  <si>
    <t>Chèque #7036106 marqué au 5 juillet disparu</t>
  </si>
  <si>
    <t>Galette - le fournil des bocages</t>
  </si>
  <si>
    <t>Consommables - carrefour</t>
  </si>
  <si>
    <t>Boisson Nicolas</t>
  </si>
  <si>
    <t>Achat pour pot - Fabien</t>
  </si>
  <si>
    <t>Achat pour pot - Nicolas</t>
  </si>
  <si>
    <t>Forum associations 2025</t>
  </si>
  <si>
    <t>Emission Chèque XXXXX - Trésor Public - XX/09/2025</t>
  </si>
  <si>
    <t>Galette - graines de créateurs</t>
  </si>
  <si>
    <t>Boissons &amp; Consommables - Leclerc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</si>
</sst>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* #,##0.00\ &quot;€&quot;_-;\-* #,##0.00\ &quot;€&quot;_-;_-* &quot;-&quot;??\ &quot;€&quot;_-;_-@_-"/>
    <numFmt numFmtId="164" formatCode="_-* #,##0.00\ [$€-40C]_-;\-* #,##0.00\ [$€-40C]_-;_-* &quot;-&quot;??\ [$€-40C]_-;_-@_-"/>
    <numFmt numFmtId="165" formatCode="0#&quot; &quot;##&quot; &quot;##&quot; &quot;##&quot; &quot;##"/>
    <numFmt numFmtId="166" formatCode="00000"/>
    <numFmt numFmtId="167" formatCode="0;\-0;;@"/>
    <numFmt numFmtId="168" formatCode="&quot;AJ-&quot;00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9">
    <xf numFmtId="0" fontId="0" fillId="0" borderId="0"/>
    <xf numFmtId="0" fontId="4" fillId="0" borderId="0" applyNumberForma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7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  <xf numFmtId="0" fontId="4" fillId="0" borderId="0" xfId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0" fillId="0" borderId="0" xfId="0" applyAlignment="1">
      <alignment horizontal="center"/>
    </xf>
    <xf numFmtId="167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8" fontId="0" fillId="0" borderId="0" xfId="0" applyNumberFormat="1"/>
    <xf numFmtId="168" fontId="0" fillId="0" borderId="2" xfId="0" applyNumberFormat="1" applyBorder="1"/>
    <xf numFmtId="0" fontId="0" fillId="0" borderId="0" xfId="0" applyAlignment="1">
      <alignment textRotation="45"/>
    </xf>
    <xf numFmtId="0" fontId="0" fillId="0" borderId="1" xfId="0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right" indent="1"/>
    </xf>
    <xf numFmtId="168" fontId="0" fillId="0" borderId="3" xfId="0" applyNumberFormat="1" applyBorder="1"/>
    <xf numFmtId="0" fontId="0" fillId="0" borderId="4" xfId="0" applyBorder="1" applyAlignment="1">
      <alignment horizontal="center"/>
    </xf>
    <xf numFmtId="14" fontId="0" fillId="0" borderId="4" xfId="0" applyNumberFormat="1" applyBorder="1"/>
    <xf numFmtId="168" fontId="3" fillId="0" borderId="0" xfId="0" applyNumberFormat="1" applyFont="1" applyAlignment="1">
      <alignment horizontal="center"/>
    </xf>
    <xf numFmtId="49" fontId="0" fillId="0" borderId="0" xfId="0" applyNumberFormat="1"/>
    <xf numFmtId="49" fontId="0" fillId="0" borderId="0" xfId="0" quotePrefix="1" applyNumberFormat="1"/>
    <xf numFmtId="0" fontId="0" fillId="0" borderId="0" xfId="0" quotePrefix="1"/>
    <xf numFmtId="164" fontId="0" fillId="0" borderId="0" xfId="0" applyNumberFormat="1"/>
    <xf numFmtId="164" fontId="0" fillId="0" borderId="0" xfId="3" applyNumberFormat="1" applyFont="1"/>
    <xf numFmtId="164" fontId="0" fillId="0" borderId="0" xfId="6" applyNumberFormat="1" applyFont="1"/>
    <xf numFmtId="164" fontId="0" fillId="0" borderId="0" xfId="8" applyNumberFormat="1" applyFont="1"/>
  </cellXfs>
  <cellStyles count="9">
    <cellStyle name="Currency 2" xfId="2" xr:uid="{B22ACF6F-F104-4461-B365-03F859405C05}"/>
    <cellStyle name="Currency 2 2" xfId="4" xr:uid="{A1509588-8218-4AE0-841B-0EE265356814}"/>
    <cellStyle name="Currency 2 3" xfId="6" xr:uid="{C6F2946F-94BD-4B84-8CA7-46EAEC2716A7}"/>
    <cellStyle name="Currency 2 4" xfId="8" xr:uid="{84171FCF-93E6-44FD-9AEF-6D74415DD276}"/>
    <cellStyle name="Currency 3" xfId="3" xr:uid="{6BC9651A-9114-4E78-B4DA-88D5807A53F9}"/>
    <cellStyle name="Currency 4" xfId="5" xr:uid="{CAB53DCF-A3BD-4693-B588-CEC6B7FFE4B9}"/>
    <cellStyle name="Currency 5" xfId="7" xr:uid="{DAB5D3F6-F08E-4029-8F85-1212CB394C4A}"/>
    <cellStyle name="Hyperlink" xfId="1" builtinId="8"/>
    <cellStyle name="Normal" xfId="0" builtinId="0"/>
  </cellStyles>
  <dxfs count="53"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numFmt numFmtId="30" formatCode="@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167" formatCode="0;\-0;;@"/>
      <alignment horizontal="center" vertical="bottom" textRotation="0" wrapText="0" indent="0" justifyLastLine="0" shrinkToFit="0" readingOrder="0"/>
    </dxf>
    <dxf>
      <numFmt numFmtId="167" formatCode="0;\-0;;@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67" formatCode="0;\-0;;@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67" formatCode="0;\-0;;@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166" formatCode="000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168" formatCode="&quot;AJ-&quot;00000"/>
    </dxf>
    <dxf>
      <numFmt numFmtId="0" formatCode="General"/>
    </dxf>
    <dxf>
      <numFmt numFmtId="0" formatCode="General"/>
    </dxf>
    <dxf>
      <numFmt numFmtId="0" formatCode="General"/>
    </dxf>
    <dxf>
      <numFmt numFmtId="165" formatCode="0#&quot; &quot;##&quot; &quot;##&quot; &quot;##&quot; &quot;##"/>
    </dxf>
    <dxf>
      <numFmt numFmtId="19" formatCode="dd/mm/yyyy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164" formatCode="_-* #,##0.00\ [$€-40C]_-;\-* #,##0.00\ [$€-40C]_-;_-* &quot;-&quot;??\ [$€-40C]_-;_-@_-"/>
    </dxf>
    <dxf>
      <numFmt numFmtId="164" formatCode="_-* #,##0.00\ [$€-40C]_-;\-* #,##0.00\ [$€-40C]_-;_-* &quot;-&quot;??\ [$€-40C]_-;_-@_-"/>
    </dxf>
    <dxf>
      <numFmt numFmtId="168" formatCode="&quot;AJ-&quot;0000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19" formatCode="dd/mm/yyyy"/>
    </dxf>
    <dxf>
      <alignment horizontal="general" vertical="bottom" textRotation="45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263E50-B280-44A4-A3A2-CF75C59361DA}" name="suivi" displayName="suivi" ref="A3:AK187" totalsRowShown="0" headerRowDxfId="52">
  <autoFilter ref="A3:AK187" xr:uid="{49263E50-B280-44A4-A3A2-CF75C59361DA}"/>
  <sortState xmlns:xlrd2="http://schemas.microsoft.com/office/spreadsheetml/2017/richdata2" ref="A4:AK187">
    <sortCondition ref="A4:A131"/>
    <sortCondition ref="G4:G131"/>
    <sortCondition ref="D4:D131"/>
  </sortState>
  <tableColumns count="37">
    <tableColumn id="1" xr3:uid="{0FB7B116-6348-48B2-A7F5-814AF3179BF5}" name="date" dataDxfId="51"/>
    <tableColumn id="17" xr3:uid="{F1F2C117-665F-477F-BD95-BB0041C7AC83}" name="#support.id" dataDxfId="50">
      <calculatedColumnFormula>ROW(suivi[[#This Row],['#support.id]])-ROW(suivi[[#Headers],['#support.saison_en_cours]])</calculatedColumnFormula>
    </tableColumn>
    <tableColumn id="6" xr3:uid="{B8D9A736-F077-4442-8547-273F679AD6E7}" name="#support.saison_en_cours" dataDxfId="49">
      <calculatedColumnFormula>IF(suivi[[#This Row],['#support.saison]]=saison_en_cours,1,"")</calculatedColumnFormula>
    </tableColumn>
    <tableColumn id="2" xr3:uid="{BA23A798-7F6D-427C-9B40-C03789560F73}" name="entree.categorie"/>
    <tableColumn id="8" xr3:uid="{06EE8F50-ADC1-469F-A257-1B881FC1D04A}" name="entree.nom"/>
    <tableColumn id="9" xr3:uid="{2188F7AA-4A84-4D90-AB77-881A8E7C786C}" name="entree.detail"/>
    <tableColumn id="3" xr3:uid="{ABA8EA9C-1765-4557-87BF-67B0FF95BFC3}" name="membre.id" dataDxfId="48"/>
    <tableColumn id="4" xr3:uid="{523E43C0-1B09-47B6-B082-EEE27DDB69A9}" name="membre.asso_role"/>
    <tableColumn id="10" xr3:uid="{8E7E02C9-395F-4778-AB77-9C3702D40C1C}" name="compta.compte"/>
    <tableColumn id="11" xr3:uid="{6C0800EE-FE32-40F0-A410-C7F858DF4C5C}" name="compta.credit" dataDxfId="47"/>
    <tableColumn id="12" xr3:uid="{F774AEB0-8555-4F47-9847-CA9DDD225974}" name="compta.debit" dataDxfId="46"/>
    <tableColumn id="13" xr3:uid="{84B0CF41-C9FF-492D-94D7-D3C997A14CF7}" name="commentaire_old"/>
    <tableColumn id="21" xr3:uid="{39CE650B-DC27-46D2-BA8E-F2B6B4110814}" name="cotisation"/>
    <tableColumn id="19" xr3:uid="{A70567D9-614C-4F73-BCBF-74A58F326A54}" name="compta.commentaire"/>
    <tableColumn id="22" xr3:uid="{684641E6-B5F4-4194-B997-8B8AD29AD098}" name="log.commentaire"/>
    <tableColumn id="5" xr3:uid="{816B3DC7-BBE2-4F16-A29F-8A315AF10782}" name="#support.nom" dataDxfId="45">
      <calculatedColumnFormula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calculatedColumnFormula>
    </tableColumn>
    <tableColumn id="14" xr3:uid="{E1D12192-CA60-42A9-8568-027210193B82}" name="#support.nb_in_suivi" dataDxfId="44">
      <calculatedColumnFormula>IF(suivi[[#This Row],['#support.nom]]="","",COUNTIF(suivi['#support.nom],suivi[[#This Row],['#support.nom]]))</calculatedColumnFormula>
    </tableColumn>
    <tableColumn id="38" xr3:uid="{D8643ECA-BC92-4E81-88C2-1FDAA7DD3234}" name="membre.prive.nom"/>
    <tableColumn id="39" xr3:uid="{02077F97-CABB-4F01-B2BE-D9AB1B20C587}" name="membre.prive.prenom"/>
    <tableColumn id="41" xr3:uid="{555C7914-BD43-40BE-9FE9-DD8B237FB9B2}" name="membre.prive.date_naissance" dataDxfId="43"/>
    <tableColumn id="42" xr3:uid="{0F695DE8-6E08-4A94-93CF-0793D9B4DEDF}" name="membre.prive.[emails]"/>
    <tableColumn id="43" xr3:uid="{AF632A15-866C-4FB0-9E3E-766612B21AA0}" name="membre.prive.[telephone]" dataDxfId="42"/>
    <tableColumn id="44" xr3:uid="{08934B32-772D-49B5-8CB1-00D28BBC345B}" name="membre.prive.adresse.numero"/>
    <tableColumn id="45" xr3:uid="{1947BEA6-C708-4BFB-BE93-E1921EBE2771}" name="membre.prive.adresse.type_voie"/>
    <tableColumn id="46" xr3:uid="{EA58EDE2-A198-427A-9277-214904629366}" name="membre.prive.adresse.nom_voie"/>
    <tableColumn id="47" xr3:uid="{979988A1-4C60-40CB-89B5-E979B08492F2}" name="membre.prive.adresse.autre"/>
    <tableColumn id="48" xr3:uid="{ED3F3719-ED2F-44C0-943D-DB97B6994687}" name="membre.prive.adresse.cp"/>
    <tableColumn id="49" xr3:uid="{25493EEA-021D-4412-9C30-45AC9FC2C30C}" name="membre.prive.adresse.ville"/>
    <tableColumn id="50" xr3:uid="{19B52014-9668-451C-92C9-2F9070CDB6CC}" name="membre.prive.pseudo_discord"/>
    <tableColumn id="51" xr3:uid="{31F0E451-5D1F-46B6-AAB6-AA80E3344A3D}" name="membre.prive.approbation_statuts"/>
    <tableColumn id="52" xr3:uid="{D2D0ED23-8C1D-42C9-B741-2AC1F9358A0E}" name="membre.prive.assurance_resp_civile"/>
    <tableColumn id="53" xr3:uid="{D158EA9B-843A-4033-9212-9823361AE8BB}" name="membre.prive.utilisation_image"/>
    <tableColumn id="54" xr3:uid="{0CD13690-1053-4811-BA82-7B1E841BE152}" name="membre.source_connaissance"/>
    <tableColumn id="18" xr3:uid="{5EE53ED3-6EB5-4A51-BECF-50A1BFE8D72A}" name="#support.saison" dataDxfId="41">
      <calculatedColumnFormula array="1">_xlfn._xlws.FILTER(saisons[nom],(saisons[debut]&lt;=suivi[[#This Row],[date]])*(saisons[fin]&gt;=suivi[[#This Row],[date]]))</calculatedColumnFormula>
    </tableColumn>
    <tableColumn id="7" xr3:uid="{96E2DB9A-0E39-4E21-B4D1-E2F224AC1373}" name="#support.evement" dataDxfId="40">
      <calculatedColumnFormula>MIN(COUNTIFS(suivi[entree.categorie],"Evènement",suivi[entree.nom],suivi[[#This Row],[entree.nom]]),1)</calculatedColumnFormula>
    </tableColumn>
    <tableColumn id="15" xr3:uid="{A9BF3F90-5224-4768-AC06-557C84EAA670}" name="#support.traite_manuel"/>
    <tableColumn id="16" xr3:uid="{D3F5759F-FB99-494B-AEB5-10F386E8FAF9}" name="#support.traite" dataDxfId="39">
      <calculatedColumnFormula array="1">IFERROR(_xlfn.TEXTJOIN(",",TRUE,_xlfn.UNIQUE(_xlfn._xlws.FILTER(suivi['#support.traite_manuel],(suivi[[#This Row],['#support.nom]]&lt;&gt;"")*(suivi['#support.nom]=suivi[[#This Row],['#support.nom]])))),"-")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0521B27-0225-4CC8-8147-9E4CD5FF5EAB}" name="annuaire" displayName="annuaire" ref="A1:AF21" totalsRowShown="0">
  <autoFilter ref="A1:AF21" xr:uid="{C0521B27-0225-4CC8-8147-9E4CD5FF5EAB}"/>
  <sortState xmlns:xlrd2="http://schemas.microsoft.com/office/spreadsheetml/2017/richdata2" ref="A2:AE21">
    <sortCondition ref="A2:A21"/>
  </sortState>
  <tableColumns count="32">
    <tableColumn id="1" xr3:uid="{2EF34ACA-1DA4-4BB4-AF29-CDC52C33FB0D}" name="id" dataDxfId="38"/>
    <tableColumn id="41" xr3:uid="{0677CC2C-1555-4F0E-B887-88DF46FEFDB9}" name="creation.date" dataDxfId="37">
      <calculatedColumnFormula>_xlfn.MINIFS(suivi[date],suivi[membre.id],annuaire[[#This Row],[id]])</calculatedColumnFormula>
    </tableColumn>
    <tableColumn id="8" xr3:uid="{2B9D691A-DDEC-4140-8118-D2B7A9171DD4}" name="nom" dataDxfId="36">
      <calculatedColumnFormula array="1">_xlfn.LET(_xlpm.champ,suivi[membre.prive.nom],
_xlpm.liste_unique,IFERROR(_xlfn.UNIQUE(_xlfn._xlws.FILTER(_xlpm.champ,(_xlpm.champ&lt;&gt;"")*(suivi[membre.id]=annuaire[[#This Row],[id]]))),""),
INDEX(_xlpm.liste_unique,ROWS(_xlpm.liste_unique)))</calculatedColumnFormula>
    </tableColumn>
    <tableColumn id="35" xr3:uid="{1AAC6656-6D6A-4A84-99B8-4E19DED9A082}" name="prenom" dataDxfId="35">
      <calculatedColumnFormula array="1">_xlfn.LET(_xlpm.champ,suivi[membre.prive.prenom],
_xlpm.liste_unique,IFERROR(_xlfn.UNIQUE(_xlfn._xlws.FILTER(_xlpm.champ,(_xlpm.champ&lt;&gt;"")*(suivi[membre.id]=annuaire[[#This Row],[id]]))),""),
INDEX(_xlpm.liste_unique,ROWS(_xlpm.liste_unique)))</calculatedColumnFormula>
    </tableColumn>
    <tableColumn id="37" xr3:uid="{CF2876AF-621B-44F5-9CBA-53C37D1D09A3}" name="date_naissance" dataDxfId="34">
      <calculatedColumnFormula array="1">_xlfn.LET(_xlpm.champ,suivi[membre.prive.date_naissance],
_xlpm.liste_unique,IFERROR(_xlfn.UNIQUE(_xlfn._xlws.FILTER(_xlpm.champ,(_xlpm.champ&lt;&gt;"")*(suivi[membre.id]=annuaire[[#This Row],[id]]))),""),
INDEX(_xlpm.liste_unique,ROWS(_xlpm.liste_unique)))</calculatedColumnFormula>
    </tableColumn>
    <tableColumn id="38" xr3:uid="{B5FD73F2-A142-4350-BE3A-56A163B09401}" name="emails" dataDxfId="33">
      <calculatedColumnFormula array="1">_xlfn.LET(_xlpm.champ,suivi[membre.prive.'[emails']],
_xlpm.liste_unique,IFERROR(_xlfn.UNIQUE(_xlfn._xlws.FILTER(_xlpm.champ,(_xlpm.champ&lt;&gt;"")*(suivi[membre.id]=annuaire[[#This Row],[id]]))),""),
INDEX(_xlpm.liste_unique,ROWS(_xlpm.liste_unique)))</calculatedColumnFormula>
    </tableColumn>
    <tableColumn id="39" xr3:uid="{7EC7E289-AA57-4D6B-9240-06886DAF78AE}" name="telephone" dataDxfId="32">
      <calculatedColumnFormula array="1">_xlfn.LET(_xlpm.champ,suivi[membre.prive.'[telephone']],
_xlpm.liste_unique,IFERROR(_xlfn.UNIQUE(_xlfn._xlws.FILTER(_xlpm.champ,(_xlpm.champ&lt;&gt;"")*(suivi[membre.id]=annuaire[[#This Row],[id]]))),""),
INDEX(_xlpm.liste_unique,ROWS(_xlpm.liste_unique)))</calculatedColumnFormula>
    </tableColumn>
    <tableColumn id="33" xr3:uid="{A6B93A0F-4C0C-417E-9714-A90931CEAA1C}" name="adresse.numero" dataDxfId="31">
      <calculatedColumnFormula array="1">_xlfn.LET(_xlpm.champ,suivi[membre.prive.adresse.numero],
_xlpm.liste_unique,IFERROR(_xlfn.UNIQUE(_xlfn._xlws.FILTER(_xlpm.champ,(_xlpm.champ&lt;&gt;"")*(suivi[membre.id]=annuaire[[#This Row],[id]]))),""),
INDEX(_xlpm.liste_unique,ROWS(_xlpm.liste_unique)))</calculatedColumnFormula>
    </tableColumn>
    <tableColumn id="43" xr3:uid="{F51FA5C7-AC35-45EE-9628-A367ECC94C1D}" name="adresse.type_voie" dataDxfId="30">
      <calculatedColumnFormula array="1">_xlfn.LET(_xlpm.champ,suivi[membre.prive.adresse.type_voie],
_xlpm.liste_unique,IFERROR(_xlfn.UNIQUE(_xlfn._xlws.FILTER(_xlpm.champ,(_xlpm.champ&lt;&gt;"")*(suivi[membre.id]=annuaire[[#This Row],[id]]))),""),
INDEX(_xlpm.liste_unique,ROWS(_xlpm.liste_unique)))</calculatedColumnFormula>
    </tableColumn>
    <tableColumn id="44" xr3:uid="{1599FCD6-E3AC-41C8-8B31-284CEF4E6C5F}" name="adresse.nom_voie" dataDxfId="29">
      <calculatedColumnFormula array="1">_xlfn.LET(_xlpm.champ,suivi[membre.prive.adresse.nom_voie],
_xlpm.liste_unique,IFERROR(_xlfn.UNIQUE(_xlfn._xlws.FILTER(_xlpm.champ,(_xlpm.champ&lt;&gt;"")*(suivi[membre.id]=annuaire[[#This Row],[id]]))),""),
INDEX(_xlpm.liste_unique,ROWS(_xlpm.liste_unique)))</calculatedColumnFormula>
    </tableColumn>
    <tableColumn id="45" xr3:uid="{B96B9DE2-9AFB-4DCE-B869-C66CAE76A241}" name="adresse.autre" dataDxfId="28">
      <calculatedColumnFormula array="1">_xlfn.LET(_xlpm.champ,suivi[membre.prive.adresse.autre],
_xlpm.liste_unique,IFERROR(_xlfn.UNIQUE(_xlfn._xlws.FILTER(_xlpm.champ,(_xlpm.champ&lt;&gt;"")*(suivi[membre.id]=annuaire[[#This Row],[id]]))),""),
INDEX(_xlpm.liste_unique,ROWS(_xlpm.liste_unique)))</calculatedColumnFormula>
    </tableColumn>
    <tableColumn id="46" xr3:uid="{39DA8383-C837-4530-A4A6-D7C3CCD67454}" name="adresse.cp" dataDxfId="27">
      <calculatedColumnFormula array="1">_xlfn.LET(_xlpm.champ,suivi[membre.prive.adresse.cp],
_xlpm.liste_unique,IFERROR(_xlfn.UNIQUE(_xlfn._xlws.FILTER(_xlpm.champ,(_xlpm.champ&lt;&gt;"")*(suivi[membre.id]=annuaire[[#This Row],[id]]))),""),
INDEX(_xlpm.liste_unique,ROWS(_xlpm.liste_unique)))</calculatedColumnFormula>
    </tableColumn>
    <tableColumn id="47" xr3:uid="{6F74C59D-E621-41DE-B3EF-2E2109280CA1}" name="adresse.ville" dataDxfId="26">
      <calculatedColumnFormula array="1">_xlfn.LET(_xlpm.champ,suivi[membre.prive.adresse.ville],
_xlpm.liste_unique,IFERROR(_xlfn.UNIQUE(_xlfn._xlws.FILTER(_xlpm.champ,(_xlpm.champ&lt;&gt;"")*(suivi[membre.id]=annuaire[[#This Row],[id]]))),""),
INDEX(_xlpm.liste_unique,ROWS(_xlpm.liste_unique)))</calculatedColumnFormula>
    </tableColumn>
    <tableColumn id="40" xr3:uid="{1081904D-8FBB-4544-AC0D-FE0BF2EF1BA6}" name="pseudo_discord" dataDxfId="25">
      <calculatedColumnFormula array="1">_xlfn.LET(_xlpm.champ,suivi[membre.prive.pseudo_discord],
_xlpm.liste_unique,IFERROR(_xlfn.UNIQUE(_xlfn._xlws.FILTER(_xlpm.champ,(_xlpm.champ&lt;&gt;"")*(suivi[membre.id]=annuaire[[#This Row],[id]]))),""),
INDEX(_xlpm.liste_unique,ROWS(_xlpm.liste_unique)))</calculatedColumnFormula>
    </tableColumn>
    <tableColumn id="51" xr3:uid="{27F4A666-DFD0-4275-9E2C-9B28BEA8E39D}" name="connaissance" dataDxfId="24">
      <calculatedColumnFormula array="1">_xlfn.LET(_xlpm.champ,suivi[membre.source_connaissance],
_xlpm.liste_unique,IFERROR(_xlfn.UNIQUE(_xlfn._xlws.FILTER(_xlpm.champ,(_xlpm.champ&lt;&gt;"")*(suivi[membre.id]=annuaire[[#This Row],[id]]))),""),
INDEX(_xlpm.liste_unique,ROWS(_xlpm.liste_unique)))</calculatedColumnFormula>
    </tableColumn>
    <tableColumn id="4" xr3:uid="{D723C34E-057C-480D-997D-9554168CE84A}" name="nom_userfriendly" dataDxfId="23">
      <calculatedColumnFormula>IF(annuaire[[#This Row],[nom]]&lt;&gt;"",PROPER(annuaire[[#This Row],[nom]])&amp;IF(annuaire[[#This Row],[prenom]]&lt;&gt;""," "&amp;PROPER(annuaire[[#This Row],[prenom]]),""),
IF(annuaire[[#This Row],[pseudo_discord]]&lt;&gt;"","[discord] "&amp;annuaire[[#This Row],[pseudo_discord]]&amp;IF(annuaire[[#This Row],[prenom]]&lt;&gt;""," ("&amp;PROPER(annuaire[[#This Row],[prenom]])&amp;")",""),
IF(annuaire[[#This Row],[emails]]&lt;&gt;"","[email] "&amp;annuaire[[#This Row],[emails]]&amp;IF(annuaire[[#This Row],[prenom]]&lt;&gt;""," ("&amp;PROPER(annuaire[[#This Row],[prenom]])&amp;")",""),
IF(annuaire[[#This Row],[prenom]]&lt;&gt;"",PROPER(annuaire[[#This Row],[prenom]]),"AJ-"&amp;TEXT(annuaire[[#This Row],[id]],"00000")))))</calculatedColumnFormula>
    </tableColumn>
    <tableColumn id="24" xr3:uid="{569F5E4A-3A80-433D-B25B-075FBB39D078}" name="stats.cotis.nb" dataDxfId="22">
      <calculatedColumnFormula>COUNTIFS(suivi[entree.categorie],cotisation,suivi[membre.id],annuaire[[#This Row],[id]])</calculatedColumnFormula>
    </tableColumn>
    <tableColumn id="6" xr3:uid="{7E127573-2A52-4D5F-BE4C-992F552EF344}" name="stats.cotis.premiere" dataDxfId="21">
      <calculatedColumnFormula>_xlfn.LET(_xlpm.der_pres,_xlfn.MINIFS(suivi[date],suivi[entree.categorie],cotisation,suivi[membre.id],annuaire[[#This Row],[id]]),
IF(_xlpm.der_pres=0,"",_xlpm.der_pres))</calculatedColumnFormula>
    </tableColumn>
    <tableColumn id="32" xr3:uid="{4EF1E69E-E600-4EAE-8E58-C1C998EAF964}" name="stats.cotis.derniere" dataDxfId="20">
      <calculatedColumnFormula>_xlfn.LET(_xlpm.der_pres,_xlfn.MAXIFS(suivi[date],suivi[entree.categorie],cotisation,suivi[membre.id],annuaire[[#This Row],[id]]),
IF(_xlpm.der_pres=0,"",_xlpm.der_pres))</calculatedColumnFormula>
    </tableColumn>
    <tableColumn id="23" xr3:uid="{E6FA7A84-E5BA-4D45-ADA9-24089E4B6B16}" name="stats.presence.nb" dataDxfId="19">
      <calculatedColumnFormula>COUNTIFS(suivi[entree.categorie],presence,suivi[membre.id],annuaire[[#This Row],[id]])</calculatedColumnFormula>
    </tableColumn>
    <tableColumn id="31" xr3:uid="{5B2B98F7-7013-43BA-B542-7D70671BF1E9}" name="stats.der_activite" dataDxfId="18">
      <calculatedColumnFormula>_xlfn.MAXIFS(suivi[date],suivi[membre.id],annuaire[[#This Row],[id]])</calculatedColumnFormula>
    </tableColumn>
    <tableColumn id="27" xr3:uid="{55A7F7BF-DA5A-4EB3-92E1-015037DB2F9E}" name="saison.presence" dataDxfId="17">
      <calculatedColumnFormula>COUNTIFS(suivi[entree.categorie],presence,suivi[membre.id],annuaire[[#This Row],[id]],suivi['#support.saison_en_cours],1)</calculatedColumnFormula>
    </tableColumn>
    <tableColumn id="17" xr3:uid="{D89BC048-7C42-4172-9DDF-A687D2A0196E}" name="saison.cotis" dataDxfId="16">
      <calculatedColumnFormula>IF(COUNTIFS(suivi[entree.categorie],cotisation,suivi[membre.id],annuaire[[#This Row],[id]],suivi['#support.saison_en_cours],1)&gt;0,1,0)</calculatedColumnFormula>
    </tableColumn>
    <tableColumn id="2" xr3:uid="{70F84B50-BB0A-4F61-8403-3442D8F89C0E}" name="saison.precedente" dataDxfId="15">
      <calculatedColumnFormula>IF(annuaire[[#This Row],[stats.cotis.derniere]]="",FALSE,
_xlfn.LET(
_xlpm.derniere_cotis_nb_mois,ROUNDDOWN((saison_debut-annuaire[[#This Row],[stats.cotis.derniere]])/30,1),
_xlpm.derniere_cotis_saison_precedente,AND(_xlpm.derniere_cotis_nb_mois&gt;0,_xlpm.derniere_cotis_nb_mois&lt;13),
_xlpm.nouvelle_saison_depuismoins2mois,(TODAY()-saison_debut)/30&lt;3,
AND(_xlpm.derniere_cotis_saison_precedente,_xlpm.nouvelle_saison_depuismoins2mois)
)
)</calculatedColumnFormula>
    </tableColumn>
    <tableColumn id="5" xr3:uid="{B4FCD938-2E0E-47DE-9BFC-F61338F1C893}" name="saison.asso_role_manuel" dataDxfId="14">
      <calculatedColumnFormula array="1">IFERROR(_xlfn.LET(_xlpm.filtre_table_suivi_saison_role,(suivi[membre.asso_role]&lt;&gt;"")*(suivi['#support.saison_en_cours]=1),
                                             _xlpm.nomination_saison_id,_xlfn._xlws.FILTER(suivi[membre.id],_xlpm.filtre_table_suivi_saison_role),
                                             _xlpm.nomination_saison_role,_xlfn._xlws.FILTER(suivi[membre.asso_role],_xlpm.filtre_table_suivi_saison_role),
                                             INDEX(_xlpm.nomination_saison_role,MATCH(annuaire[[#This Row],[id]],_xlpm.nomination_saison_id,0))),
                                         "")</calculatedColumnFormula>
    </tableColumn>
    <tableColumn id="28" xr3:uid="{28FDA318-DD65-4755-A57A-F4F6888B35AC}" name="saison.asso_role" dataDxfId="13">
      <calculatedColumnFormula>IF(annuaire[[#This Row],[saison.asso_role_manuel]]&lt;&gt;"",annuaire[[#This Row],[saison.asso_role_manuel]],
IF(annuaire[[#This Row],[saison.cotis]]&gt;0,cotisant,
IF(annuaire[[#This Row],[saison.precedente]],cotisant_saison_prec,
"")))</calculatedColumnFormula>
    </tableColumn>
    <tableColumn id="49" xr3:uid="{A4769F69-6147-46BD-9872-61BA71FAA601}" name="saison.approbation_statuts" dataDxfId="12">
      <calculatedColumnFormula array="1">_xlfn.LET(_xlpm.champ,suivi[membre.prive.approbation_statuts],
_xlpm.liste_unique,IFERROR(_xlfn.UNIQUE(_xlfn._xlws.FILTER(_xlpm.champ,(suivi['#support.saison_en_cours]=1)*(_xlpm.champ&lt;&gt;"")*(suivi[membre.id]=annuaire[[#This Row],[id]]))),""),
INDEX(_xlpm.liste_unique,ROWS(_xlpm.liste_unique)))</calculatedColumnFormula>
    </tableColumn>
    <tableColumn id="48" xr3:uid="{C89680B0-9D65-49AF-A907-C029CFA222AF}" name="saison.assurance_resp_civile" dataDxfId="11">
      <calculatedColumnFormula array="1">_xlfn.LET(_xlpm.champ,suivi[membre.prive.assurance_resp_civile],
_xlpm.liste_unique,IFERROR(_xlfn.UNIQUE(_xlfn._xlws.FILTER(_xlpm.champ,(suivi['#support.saison_en_cours]=1)*(_xlpm.champ&lt;&gt;"")*(suivi[membre.id]=annuaire[[#This Row],[id]]))),""),
INDEX(_xlpm.liste_unique,ROWS(_xlpm.liste_unique)))</calculatedColumnFormula>
    </tableColumn>
    <tableColumn id="50" xr3:uid="{5BE4E685-EE59-41AC-8EE9-2B78320891FB}" name="saison.utilisation_image" dataDxfId="10">
      <calculatedColumnFormula array="1">_xlfn.LET(_xlpm.champ,suivi[membre.prive.utilisation_image],
_xlpm.liste_unique,IFERROR(_xlfn.UNIQUE(_xlfn._xlws.FILTER(_xlpm.champ,(suivi['#support.saison_en_cours]=1)*(_xlpm.champ&lt;&gt;"")*(suivi[membre.id]=annuaire[[#This Row],[id]]))),""),
INDEX(_xlpm.liste_unique,ROWS(_xlpm.liste_unique)))</calculatedColumnFormula>
    </tableColumn>
    <tableColumn id="29" xr3:uid="{5AE31A65-8DEA-4D45-A407-78AFEA2D4142}" name="liste_diffusion" dataDxfId="9">
      <calculatedColumnFormula>IF(OR(annuaire[[#This Row],[saison.cotis]]=1,annuaire[[#This Row],[stats.der_activite]]&gt;EDATE(TODAY(),-12)),1,"")</calculatedColumnFormula>
    </tableColumn>
    <tableColumn id="42" xr3:uid="{109151D1-3B99-445F-B439-73F903ADC1FD}" name="Info Emargement" dataDxfId="8">
      <calculatedColumnFormula>IF(annuaire[[#This Row],[saison.presence]]=0,"",IF(annuaire[[#This Row],[saison.cotis]]=1," ", annuaire[[#This Row],[saison.presence]]))</calculatedColumnFormula>
    </tableColumn>
    <tableColumn id="3" xr3:uid="{3606EFBE-DBA9-49AB-B85C-3A3C59D1CFD9}" name="In Discord" dataDxfId="7">
      <calculatedColumnFormula>IF(annuaire[[#This Row],[pseudo_discord]]="","",MATCH(annuaire[[#This Row],[pseudo_discord]],#REF!,0))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5655D1F-DB3F-4D37-8F24-A4BC998D5010}" name="saisons" displayName="saisons" ref="A4:C15" totalsRowShown="0">
  <autoFilter ref="A4:C15" xr:uid="{E5655D1F-DB3F-4D37-8F24-A4BC998D5010}"/>
  <tableColumns count="3">
    <tableColumn id="1" xr3:uid="{95267D83-D39A-4269-A148-1D92E5C05FB5}" name="nom"/>
    <tableColumn id="2" xr3:uid="{F7271342-DC70-47C7-A30C-7A93245DF20D}" name="debut" dataDxfId="6"/>
    <tableColumn id="3" xr3:uid="{3C86CC9B-6D67-4CB2-A3C1-397CC509608D}" name="fin" dataDxfId="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D6924F1-AAF3-4609-8E72-1C2C4CAE5AFE}" name="categories" displayName="categories" ref="A1:A8" totalsRowShown="0">
  <autoFilter ref="A1:A8" xr:uid="{DD6924F1-AAF3-4609-8E72-1C2C4CAE5AFE}"/>
  <tableColumns count="1">
    <tableColumn id="1" xr3:uid="{165A4BFB-A185-4EC9-BE6E-BF6BADFD3894}" name="val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1B811D6-0255-462F-AC4D-B06A1EB68961}" name="contribution" displayName="contribution" ref="B9:B14" totalsRowShown="0">
  <autoFilter ref="B9:B14" xr:uid="{81B811D6-0255-462F-AC4D-B06A1EB68961}"/>
  <tableColumns count="1">
    <tableColumn id="1" xr3:uid="{202F31CB-D273-483A-B2C5-52D257B70143}" name="val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409D7D4-1108-4027-AD07-F5E9E6244BA4}" name="connaissance" displayName="connaissance" ref="C1:C6" totalsRowShown="0">
  <autoFilter ref="C1:C6" xr:uid="{6409D7D4-1108-4027-AD07-F5E9E6244BA4}"/>
  <tableColumns count="1">
    <tableColumn id="1" xr3:uid="{570D3EB2-B399-4267-A000-07C18A131A02}" name="val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F4ADE80-E916-4F73-ABB9-F4E53E3434A9}" name="discord_role" displayName="discord_role" ref="E1:F9" totalsRowShown="0">
  <autoFilter ref="E1:F9" xr:uid="{7F4ADE80-E916-4F73-ABB9-F4E53E3434A9}"/>
  <tableColumns count="2">
    <tableColumn id="1" xr3:uid="{E9304D00-4483-4FDA-AD5D-D0BB493D070F}" name="val"/>
    <tableColumn id="2" xr3:uid="{38243403-1D02-4464-A579-EBD5003D0657}" name="id" dataDxfId="4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ADBF2F1-EB2F-44AC-87FE-C79CF878119F}" name="compte" displayName="compte" ref="H1:H5" totalsRowShown="0">
  <autoFilter ref="H1:H5" xr:uid="{7ADBF2F1-EB2F-44AC-87FE-C79CF878119F}"/>
  <tableColumns count="1">
    <tableColumn id="1" xr3:uid="{EEAE7CEF-4DEC-4959-972D-179B78581A1E}" name="val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3BEF0AEC-0ECC-49A4-9172-90EC8CD69EEF}" name="roles" displayName="roles" ref="J1:P13" totalsRowShown="0">
  <autoFilter ref="J1:P13" xr:uid="{3BEF0AEC-0ECC-49A4-9172-90EC8CD69EEF}"/>
  <tableColumns count="7">
    <tableColumn id="1" xr3:uid="{74BD335C-65F8-426D-9D13-EEB2CF27AD69}" name="asso"/>
    <tableColumn id="2" xr3:uid="{980961AF-06B3-4721-90A5-53E21EDDEAFC}" name="discord"/>
    <tableColumn id="3" xr3:uid="{0BCF7061-558B-4351-9031-FA74CC413F28}" name="is_member"/>
    <tableColumn id="4" xr3:uid="{3D1ED586-BEAB-45ED-9266-BD6A36723098}" name="is_past_subscriber"/>
    <tableColumn id="5" xr3:uid="{2190B6D7-DC90-4CDC-A061-B268F5AA301D}" name="is_subscriber"/>
    <tableColumn id="6" xr3:uid="{658A9C4B-91F2-4433-93FF-DEFAB5A0CA4F}" name="is_manager"/>
    <tableColumn id="7" xr3:uid="{1D952CF2-2EC4-4E01-A393-1D049D183AF3}" name="is_owner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EA0243EF-7937-4973-9B11-FABEE4E994B9}" name="type_voie" displayName="type_voie" ref="R1:R10" totalsRowShown="0">
  <autoFilter ref="R1:R10" xr:uid="{EA0243EF-7937-4973-9B11-FABEE4E994B9}"/>
  <tableColumns count="1">
    <tableColumn id="1" xr3:uid="{08BB9B17-85F1-40C6-8F22-9A35AACCC2D1}" name="v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0.xml"/><Relationship Id="rId3" Type="http://schemas.openxmlformats.org/officeDocument/2006/relationships/table" Target="../tables/table5.xml"/><Relationship Id="rId7" Type="http://schemas.openxmlformats.org/officeDocument/2006/relationships/table" Target="../tables/table9.xml"/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8.xml"/><Relationship Id="rId5" Type="http://schemas.openxmlformats.org/officeDocument/2006/relationships/table" Target="../tables/table7.xml"/><Relationship Id="rId4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D4273-1D19-498C-85E6-C95D941779F1}">
  <sheetPr>
    <tabColor theme="5"/>
    <pageSetUpPr autoPageBreaks="0"/>
  </sheetPr>
  <dimension ref="A1:AK187"/>
  <sheetViews>
    <sheetView tabSelected="1" zoomScale="70" zoomScaleNormal="70" workbookViewId="0">
      <pane xSplit="1" ySplit="3" topLeftCell="M85" activePane="bottomRight" state="frozen"/>
      <selection pane="topRight" activeCell="B1" sqref="B1"/>
      <selection pane="bottomLeft" activeCell="A4" sqref="A4"/>
      <selection pane="bottomRight" activeCell="V94" sqref="V94"/>
    </sheetView>
  </sheetViews>
  <sheetFormatPr defaultColWidth="9.140625" defaultRowHeight="15" outlineLevelCol="1" x14ac:dyDescent="0.25"/>
  <cols>
    <col min="1" max="1" width="12.42578125" bestFit="1" customWidth="1"/>
    <col min="2" max="2" width="5.85546875" customWidth="1"/>
    <col min="3" max="3" width="3.85546875" customWidth="1"/>
    <col min="4" max="4" width="12.5703125" bestFit="1" customWidth="1"/>
    <col min="5" max="5" width="28" bestFit="1" customWidth="1"/>
    <col min="6" max="6" width="49.140625" bestFit="1" customWidth="1"/>
    <col min="7" max="7" width="17.42578125" customWidth="1"/>
    <col min="8" max="8" width="11.28515625" customWidth="1"/>
    <col min="9" max="9" width="9.140625" customWidth="1"/>
    <col min="10" max="10" width="9.42578125" customWidth="1"/>
    <col min="11" max="11" width="9.42578125" bestFit="1" customWidth="1"/>
    <col min="12" max="15" width="36.5703125" customWidth="1"/>
    <col min="16" max="16" width="28.85546875" customWidth="1"/>
    <col min="17" max="17" width="8.5703125" customWidth="1"/>
    <col min="18" max="18" width="15.85546875" customWidth="1" outlineLevel="1"/>
    <col min="19" max="19" width="9.140625" customWidth="1" outlineLevel="1"/>
    <col min="20" max="20" width="13.140625" bestFit="1" customWidth="1" outlineLevel="1"/>
    <col min="21" max="21" width="22.5703125" customWidth="1" outlineLevel="1"/>
    <col min="22" max="22" width="15" customWidth="1" outlineLevel="1"/>
    <col min="23" max="28" width="9.140625" customWidth="1" outlineLevel="1"/>
    <col min="33" max="33" width="27.28515625" bestFit="1" customWidth="1"/>
    <col min="34" max="34" width="9.85546875" bestFit="1" customWidth="1"/>
    <col min="35" max="36" width="9.140625" customWidth="1"/>
  </cols>
  <sheetData>
    <row r="1" spans="1:37" s="10" customFormat="1" ht="15.75" thickBot="1" x14ac:dyDescent="0.3">
      <c r="B1"/>
      <c r="E1" s="13"/>
      <c r="F1" s="11" t="str">
        <f>IFERROR(INDEX(annuaire[id],MATCH(Suivi!$E$1,annuaire[nom_userfriendly],0)),"-")</f>
        <v>-</v>
      </c>
      <c r="G1" s="13" t="s">
        <v>98</v>
      </c>
      <c r="H1" s="16" cm="1">
        <f t="array" ref="H1:J1">_xlfn.LET(_xlpm.liste,TRANSPOSE(_xlfn._xlws.SORT(_xlfn.UNIQUE(_xlfn._xlws.FILTER(suivi[membre.id],suivi[membre.id]&gt;0)))),
_xlpm.max_liste,MAX(_xlpm.liste),
_xlpm.liste_tout,_xlfn.SEQUENCE(_xlpm.max_liste),
_xlpm.liste_tout_manquant,TRANSPOSE(IFERROR(_xlfn._xlws.FILTER(_xlpm.liste_tout,ISNA(MATCH(_xlpm.liste_tout,_xlpm.liste,0))),"")),
_xlfn.HSTACK(_xlpm.max_liste+1,"(...)",_xlpm.liste_tout_manquant))</f>
        <v>6</v>
      </c>
      <c r="I1" s="10" t="str">
        <v>(...)</v>
      </c>
      <c r="J1" s="10" t="str">
        <v/>
      </c>
    </row>
    <row r="2" spans="1:37" s="10" customFormat="1" x14ac:dyDescent="0.25">
      <c r="A2" s="14"/>
      <c r="B2" s="19"/>
      <c r="C2"/>
      <c r="G2" s="15" t="s">
        <v>99</v>
      </c>
      <c r="H2" s="10" t="str" cm="1">
        <f t="array" ref="H2">TRANSPOSE(_xlfn._xlws.SORT(_xlfn.UNIQUE(IFERROR(_xlfn._xlws.FILTER(suivi[membre.id],(suivi[membre.id]&gt;0)*ISNA(MATCH(suivi[membre.id],annuaire[id],0))),""))))</f>
        <v/>
      </c>
    </row>
    <row r="3" spans="1:37" ht="133.5" x14ac:dyDescent="0.25">
      <c r="A3" s="12" t="s">
        <v>1</v>
      </c>
      <c r="B3" s="12" t="s">
        <v>100</v>
      </c>
      <c r="C3" s="12" t="s">
        <v>85</v>
      </c>
      <c r="D3" s="12" t="s">
        <v>86</v>
      </c>
      <c r="E3" s="12" t="s">
        <v>87</v>
      </c>
      <c r="F3" s="12" t="s">
        <v>88</v>
      </c>
      <c r="G3" s="12" t="s">
        <v>61</v>
      </c>
      <c r="H3" s="12" t="s">
        <v>62</v>
      </c>
      <c r="I3" s="12" t="s">
        <v>2</v>
      </c>
      <c r="J3" s="12" t="s">
        <v>3</v>
      </c>
      <c r="K3" s="12" t="s">
        <v>4</v>
      </c>
      <c r="L3" s="12" t="s">
        <v>124</v>
      </c>
      <c r="M3" s="12" t="s">
        <v>121</v>
      </c>
      <c r="N3" s="12" t="s">
        <v>122</v>
      </c>
      <c r="O3" s="12" t="s">
        <v>123</v>
      </c>
      <c r="P3" s="12" t="s">
        <v>101</v>
      </c>
      <c r="Q3" s="12" t="s">
        <v>93</v>
      </c>
      <c r="R3" s="12" t="s">
        <v>63</v>
      </c>
      <c r="S3" s="12" t="s">
        <v>64</v>
      </c>
      <c r="T3" s="12" t="s">
        <v>65</v>
      </c>
      <c r="U3" s="12" t="s">
        <v>74</v>
      </c>
      <c r="V3" s="12" t="s">
        <v>75</v>
      </c>
      <c r="W3" s="12" t="s">
        <v>66</v>
      </c>
      <c r="X3" s="12" t="s">
        <v>67</v>
      </c>
      <c r="Y3" s="12" t="s">
        <v>68</v>
      </c>
      <c r="Z3" s="12" t="s">
        <v>69</v>
      </c>
      <c r="AA3" s="12" t="s">
        <v>70</v>
      </c>
      <c r="AB3" s="12" t="s">
        <v>71</v>
      </c>
      <c r="AC3" s="12" t="s">
        <v>72</v>
      </c>
      <c r="AD3" s="12" t="s">
        <v>77</v>
      </c>
      <c r="AE3" s="12" t="s">
        <v>73</v>
      </c>
      <c r="AF3" s="12" t="s">
        <v>78</v>
      </c>
      <c r="AG3" s="12" t="s">
        <v>76</v>
      </c>
      <c r="AH3" s="12" t="s">
        <v>105</v>
      </c>
      <c r="AI3" s="12" t="s">
        <v>91</v>
      </c>
      <c r="AJ3" s="12" t="s">
        <v>109</v>
      </c>
      <c r="AK3" s="12" t="s">
        <v>110</v>
      </c>
    </row>
    <row r="4" spans="1:37" x14ac:dyDescent="0.25">
      <c r="A4" s="1">
        <v>42370</v>
      </c>
      <c r="B4">
        <f>ROW(suivi[[#This Row],['#support.id]])-ROW(suivi[[#Headers],['#support.saison_en_cours]])</f>
        <v>1</v>
      </c>
      <c r="C4" s="7" t="str">
        <f>IF(suivi[[#This Row],['#support.saison]]=saison_en_cours,1,"")</f>
        <v/>
      </c>
      <c r="D4" t="s">
        <v>81</v>
      </c>
      <c r="G4" s="10">
        <v>2</v>
      </c>
      <c r="J4" s="23"/>
      <c r="K4" s="23"/>
      <c r="O4" t="s">
        <v>170</v>
      </c>
      <c r="P4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Dupont Marie</v>
      </c>
      <c r="Q4" s="7">
        <f>IF(suivi[[#This Row],['#support.nom]]="","",COUNTIF(suivi['#support.nom],suivi[[#This Row],['#support.nom]]))</f>
        <v>30</v>
      </c>
      <c r="R4" t="s">
        <v>177</v>
      </c>
      <c r="S4" t="s">
        <v>13</v>
      </c>
      <c r="T4" s="1"/>
      <c r="V4" s="4"/>
      <c r="AH4" t="str" cm="1">
        <f t="array" ref="AH4">_xlfn._xlws.FILTER(saisons[nom],(saisons[debut]&lt;=suivi[[#This Row],[date]])*(saisons[fin]&gt;=suivi[[#This Row],[date]]))</f>
        <v>2015-2016</v>
      </c>
      <c r="AI4">
        <f>MIN(COUNTIFS(suivi[entree.categorie],"Evènement",suivi[entree.nom],suivi[[#This Row],[entree.nom]]),1)</f>
        <v>0</v>
      </c>
      <c r="AK4" t="str" cm="1">
        <f t="array" ref="AK4">IFERROR(_xlfn.TEXTJOIN(",",TRUE,_xlfn.UNIQUE(_xlfn._xlws.FILTER(suivi['#support.traite_manuel],(suivi[[#This Row],['#support.nom]]&lt;&gt;"")*(suivi['#support.nom]=suivi[[#This Row],['#support.nom]])))),"-")</f>
        <v/>
      </c>
    </row>
    <row r="5" spans="1:37" x14ac:dyDescent="0.25">
      <c r="A5" s="1">
        <v>42528</v>
      </c>
      <c r="B5">
        <f>ROW(suivi[[#This Row],['#support.id]])-ROW(suivi[[#Headers],['#support.saison_en_cours]])</f>
        <v>2</v>
      </c>
      <c r="C5" s="7" t="str">
        <f>IF(suivi[[#This Row],['#support.saison]]=saison_en_cours,1,"")</f>
        <v/>
      </c>
      <c r="D5" t="s">
        <v>6</v>
      </c>
      <c r="E5" t="s">
        <v>153</v>
      </c>
      <c r="G5" s="10">
        <v>5</v>
      </c>
      <c r="I5" t="s">
        <v>80</v>
      </c>
      <c r="J5" s="25">
        <v>15</v>
      </c>
      <c r="K5" s="25"/>
      <c r="M5" t="s">
        <v>113</v>
      </c>
      <c r="O5" t="s">
        <v>170</v>
      </c>
      <c r="P5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AJ-00005</v>
      </c>
      <c r="Q5" s="7">
        <f>IF(suivi[[#This Row],['#support.nom]]="","",COUNTIF(suivi['#support.nom],suivi[[#This Row],['#support.nom]]))</f>
        <v>14</v>
      </c>
      <c r="T5" s="1"/>
      <c r="V5" s="4"/>
      <c r="AH5" t="str" cm="1">
        <f t="array" ref="AH5">_xlfn._xlws.FILTER(saisons[nom],(saisons[debut]&lt;=suivi[[#This Row],[date]])*(saisons[fin]&gt;=suivi[[#This Row],[date]]))</f>
        <v>2015-2016</v>
      </c>
      <c r="AI5">
        <f>MIN(COUNTIFS(suivi[entree.categorie],"Evènement",suivi[entree.nom],suivi[[#This Row],[entree.nom]]),1)</f>
        <v>0</v>
      </c>
      <c r="AK5" t="str" cm="1">
        <f t="array" ref="AK5">IFERROR(_xlfn.TEXTJOIN(",",TRUE,_xlfn.UNIQUE(_xlfn._xlws.FILTER(suivi['#support.traite_manuel],(suivi[[#This Row],['#support.nom]]&lt;&gt;"")*(suivi['#support.nom]=suivi[[#This Row],['#support.nom]])))),"-")</f>
        <v/>
      </c>
    </row>
    <row r="6" spans="1:37" x14ac:dyDescent="0.25">
      <c r="A6" s="1">
        <v>42657</v>
      </c>
      <c r="B6">
        <f>ROW(suivi[[#This Row],['#support.id]])-ROW(suivi[[#Headers],['#support.saison_en_cours]])</f>
        <v>3</v>
      </c>
      <c r="C6" s="7" t="str">
        <f>IF(suivi[[#This Row],['#support.saison]]=saison_en_cours,1,"")</f>
        <v/>
      </c>
      <c r="D6" t="s">
        <v>6</v>
      </c>
      <c r="E6" t="s">
        <v>154</v>
      </c>
      <c r="G6" s="10">
        <v>3</v>
      </c>
      <c r="I6" t="s">
        <v>80</v>
      </c>
      <c r="J6" s="25">
        <v>15</v>
      </c>
      <c r="K6" s="25"/>
      <c r="M6" t="s">
        <v>113</v>
      </c>
      <c r="O6" t="s">
        <v>170</v>
      </c>
      <c r="P6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AJ-00003</v>
      </c>
      <c r="Q6" s="7">
        <f>IF(suivi[[#This Row],['#support.nom]]="","",COUNTIF(suivi['#support.nom],suivi[[#This Row],['#support.nom]]))</f>
        <v>10</v>
      </c>
      <c r="T6" s="1"/>
      <c r="V6" s="4"/>
      <c r="AH6" t="str" cm="1">
        <f t="array" ref="AH6">_xlfn._xlws.FILTER(saisons[nom],(saisons[debut]&lt;=suivi[[#This Row],[date]])*(saisons[fin]&gt;=suivi[[#This Row],[date]]))</f>
        <v>2016-2017</v>
      </c>
      <c r="AI6">
        <f>MIN(COUNTIFS(suivi[entree.categorie],"Evènement",suivi[entree.nom],suivi[[#This Row],[entree.nom]]),1)</f>
        <v>0</v>
      </c>
      <c r="AK6" t="str" cm="1">
        <f t="array" ref="AK6">IFERROR(_xlfn.TEXTJOIN(",",TRUE,_xlfn.UNIQUE(_xlfn._xlws.FILTER(suivi['#support.traite_manuel],(suivi[[#This Row],['#support.nom]]&lt;&gt;"")*(suivi['#support.nom]=suivi[[#This Row],['#support.nom]])))),"-")</f>
        <v/>
      </c>
    </row>
    <row r="7" spans="1:37" x14ac:dyDescent="0.25">
      <c r="A7" s="1">
        <v>42983</v>
      </c>
      <c r="B7">
        <f>ROW(suivi[[#This Row],['#support.id]])-ROW(suivi[[#Headers],['#support.saison_en_cours]])</f>
        <v>4</v>
      </c>
      <c r="C7" s="7" t="str">
        <f>IF(suivi[[#This Row],['#support.saison]]=saison_en_cours,1,"")</f>
        <v/>
      </c>
      <c r="D7" t="s">
        <v>6</v>
      </c>
      <c r="E7" t="s">
        <v>155</v>
      </c>
      <c r="G7" s="10">
        <v>3</v>
      </c>
      <c r="I7" t="s">
        <v>80</v>
      </c>
      <c r="J7" s="25">
        <v>15</v>
      </c>
      <c r="K7" s="25"/>
      <c r="M7" t="s">
        <v>113</v>
      </c>
      <c r="P7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AJ-00003</v>
      </c>
      <c r="Q7" s="7">
        <f>IF(suivi[[#This Row],['#support.nom]]="","",COUNTIF(suivi['#support.nom],suivi[[#This Row],['#support.nom]]))</f>
        <v>10</v>
      </c>
      <c r="T7" s="1"/>
      <c r="V7" s="4"/>
      <c r="AH7" t="str" cm="1">
        <f t="array" ref="AH7">_xlfn._xlws.FILTER(saisons[nom],(saisons[debut]&lt;=suivi[[#This Row],[date]])*(saisons[fin]&gt;=suivi[[#This Row],[date]]))</f>
        <v>2017-2018</v>
      </c>
      <c r="AI7">
        <f>MIN(COUNTIFS(suivi[entree.categorie],"Evènement",suivi[entree.nom],suivi[[#This Row],[entree.nom]]),1)</f>
        <v>0</v>
      </c>
      <c r="AK7" t="str" cm="1">
        <f t="array" ref="AK7">IFERROR(_xlfn.TEXTJOIN(",",TRUE,_xlfn.UNIQUE(_xlfn._xlws.FILTER(suivi['#support.traite_manuel],(suivi[[#This Row],['#support.nom]]&lt;&gt;"")*(suivi['#support.nom]=suivi[[#This Row],['#support.nom]])))),"-")</f>
        <v/>
      </c>
    </row>
    <row r="8" spans="1:37" x14ac:dyDescent="0.25">
      <c r="A8" s="1">
        <v>42983</v>
      </c>
      <c r="B8">
        <f>ROW(suivi[[#This Row],['#support.id]])-ROW(suivi[[#Headers],['#support.saison_en_cours]])</f>
        <v>5</v>
      </c>
      <c r="C8" s="7" t="str">
        <f>IF(suivi[[#This Row],['#support.saison]]=saison_en_cours,1,"")</f>
        <v/>
      </c>
      <c r="D8" t="s">
        <v>6</v>
      </c>
      <c r="E8" t="s">
        <v>155</v>
      </c>
      <c r="G8" s="10">
        <v>5</v>
      </c>
      <c r="I8" t="s">
        <v>80</v>
      </c>
      <c r="J8" s="25">
        <v>15</v>
      </c>
      <c r="K8" s="25"/>
      <c r="M8" t="s">
        <v>113</v>
      </c>
      <c r="P8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AJ-00005</v>
      </c>
      <c r="Q8" s="7">
        <f>IF(suivi[[#This Row],['#support.nom]]="","",COUNTIF(suivi['#support.nom],suivi[[#This Row],['#support.nom]]))</f>
        <v>14</v>
      </c>
      <c r="T8" s="1"/>
      <c r="V8" s="4"/>
      <c r="AH8" t="str" cm="1">
        <f t="array" ref="AH8">_xlfn._xlws.FILTER(saisons[nom],(saisons[debut]&lt;=suivi[[#This Row],[date]])*(saisons[fin]&gt;=suivi[[#This Row],[date]]))</f>
        <v>2017-2018</v>
      </c>
      <c r="AI8">
        <f>MIN(COUNTIFS(suivi[entree.categorie],"Evènement",suivi[entree.nom],suivi[[#This Row],[entree.nom]]),1)</f>
        <v>0</v>
      </c>
      <c r="AK8" t="str" cm="1">
        <f t="array" ref="AK8">IFERROR(_xlfn.TEXTJOIN(",",TRUE,_xlfn.UNIQUE(_xlfn._xlws.FILTER(suivi['#support.traite_manuel],(suivi[[#This Row],['#support.nom]]&lt;&gt;"")*(suivi['#support.nom]=suivi[[#This Row],['#support.nom]])))),"-")</f>
        <v/>
      </c>
    </row>
    <row r="9" spans="1:37" x14ac:dyDescent="0.25">
      <c r="A9" s="1">
        <v>43347</v>
      </c>
      <c r="B9">
        <f>ROW(suivi[[#This Row],['#support.id]])-ROW(suivi[[#Headers],['#support.saison_en_cours]])</f>
        <v>6</v>
      </c>
      <c r="C9" s="7" t="str">
        <f>IF(suivi[[#This Row],['#support.saison]]=saison_en_cours,1,"")</f>
        <v/>
      </c>
      <c r="D9" t="s">
        <v>6</v>
      </c>
      <c r="E9" t="s">
        <v>156</v>
      </c>
      <c r="G9" s="10">
        <v>5</v>
      </c>
      <c r="I9" t="s">
        <v>80</v>
      </c>
      <c r="J9" s="25">
        <v>15</v>
      </c>
      <c r="K9" s="25"/>
      <c r="M9" t="s">
        <v>113</v>
      </c>
      <c r="P9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AJ-00005</v>
      </c>
      <c r="Q9" s="7">
        <f>IF(suivi[[#This Row],['#support.nom]]="","",COUNTIF(suivi['#support.nom],suivi[[#This Row],['#support.nom]]))</f>
        <v>14</v>
      </c>
      <c r="T9" s="1"/>
      <c r="V9" s="4"/>
      <c r="AH9" t="str" cm="1">
        <f t="array" ref="AH9">_xlfn._xlws.FILTER(saisons[nom],(saisons[debut]&lt;=suivi[[#This Row],[date]])*(saisons[fin]&gt;=suivi[[#This Row],[date]]))</f>
        <v>2018-2019</v>
      </c>
      <c r="AI9">
        <f>MIN(COUNTIFS(suivi[entree.categorie],"Evènement",suivi[entree.nom],suivi[[#This Row],[entree.nom]]),1)</f>
        <v>0</v>
      </c>
      <c r="AK9" t="str" cm="1">
        <f t="array" ref="AK9">IFERROR(_xlfn.TEXTJOIN(",",TRUE,_xlfn.UNIQUE(_xlfn._xlws.FILTER(suivi['#support.traite_manuel],(suivi[[#This Row],['#support.nom]]&lt;&gt;"")*(suivi['#support.nom]=suivi[[#This Row],['#support.nom]])))),"-")</f>
        <v/>
      </c>
    </row>
    <row r="10" spans="1:37" x14ac:dyDescent="0.25">
      <c r="A10" s="1">
        <v>43350</v>
      </c>
      <c r="B10">
        <f>ROW(suivi[[#This Row],['#support.id]])-ROW(suivi[[#Headers],['#support.saison_en_cours]])</f>
        <v>7</v>
      </c>
      <c r="C10" s="7" t="str">
        <f>IF(suivi[[#This Row],['#support.saison]]=saison_en_cours,1,"")</f>
        <v/>
      </c>
      <c r="D10" t="s">
        <v>6</v>
      </c>
      <c r="E10" t="s">
        <v>156</v>
      </c>
      <c r="G10" s="10">
        <v>3</v>
      </c>
      <c r="I10" t="s">
        <v>80</v>
      </c>
      <c r="J10" s="25">
        <v>15</v>
      </c>
      <c r="K10" s="25"/>
      <c r="M10" t="s">
        <v>113</v>
      </c>
      <c r="P10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AJ-00003</v>
      </c>
      <c r="Q10" s="7">
        <f>IF(suivi[[#This Row],['#support.nom]]="","",COUNTIF(suivi['#support.nom],suivi[[#This Row],['#support.nom]]))</f>
        <v>10</v>
      </c>
      <c r="T10" s="1"/>
      <c r="V10" s="4"/>
      <c r="AH10" t="str" cm="1">
        <f t="array" ref="AH10">_xlfn._xlws.FILTER(saisons[nom],(saisons[debut]&lt;=suivi[[#This Row],[date]])*(saisons[fin]&gt;=suivi[[#This Row],[date]]))</f>
        <v>2018-2019</v>
      </c>
      <c r="AI10">
        <f>MIN(COUNTIFS(suivi[entree.categorie],"Evènement",suivi[entree.nom],suivi[[#This Row],[entree.nom]]),1)</f>
        <v>0</v>
      </c>
      <c r="AK10" t="str" cm="1">
        <f t="array" ref="AK10">IFERROR(_xlfn.TEXTJOIN(",",TRUE,_xlfn.UNIQUE(_xlfn._xlws.FILTER(suivi['#support.traite_manuel],(suivi[[#This Row],['#support.nom]]&lt;&gt;"")*(suivi['#support.nom]=suivi[[#This Row],['#support.nom]])))),"-")</f>
        <v/>
      </c>
    </row>
    <row r="11" spans="1:37" x14ac:dyDescent="0.25">
      <c r="A11" s="1">
        <v>43709</v>
      </c>
      <c r="B11">
        <f>ROW(suivi[[#This Row],['#support.id]])-ROW(suivi[[#Headers],['#support.saison_en_cours]])</f>
        <v>8</v>
      </c>
      <c r="C11" s="7" t="str">
        <f>IF(suivi[[#This Row],['#support.saison]]=saison_en_cours,1,"")</f>
        <v/>
      </c>
      <c r="D11" t="s">
        <v>6</v>
      </c>
      <c r="E11" t="s">
        <v>157</v>
      </c>
      <c r="G11" s="10">
        <v>3</v>
      </c>
      <c r="I11" t="s">
        <v>80</v>
      </c>
      <c r="J11" s="25">
        <v>15</v>
      </c>
      <c r="K11" s="25"/>
      <c r="M11" t="s">
        <v>113</v>
      </c>
      <c r="P11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AJ-00003</v>
      </c>
      <c r="Q11" s="7">
        <f>IF(suivi[[#This Row],['#support.nom]]="","",COUNTIF(suivi['#support.nom],suivi[[#This Row],['#support.nom]]))</f>
        <v>10</v>
      </c>
      <c r="T11" s="1"/>
      <c r="V11" s="4"/>
      <c r="AH11" t="str" cm="1">
        <f t="array" ref="AH11">_xlfn._xlws.FILTER(saisons[nom],(saisons[debut]&lt;=suivi[[#This Row],[date]])*(saisons[fin]&gt;=suivi[[#This Row],[date]]))</f>
        <v>2019-2020</v>
      </c>
      <c r="AI11">
        <f>MIN(COUNTIFS(suivi[entree.categorie],"Evènement",suivi[entree.nom],suivi[[#This Row],[entree.nom]]),1)</f>
        <v>0</v>
      </c>
      <c r="AK11" t="str" cm="1">
        <f t="array" ref="AK11">IFERROR(_xlfn.TEXTJOIN(",",TRUE,_xlfn.UNIQUE(_xlfn._xlws.FILTER(suivi['#support.traite_manuel],(suivi[[#This Row],['#support.nom]]&lt;&gt;"")*(suivi['#support.nom]=suivi[[#This Row],['#support.nom]])))),"-")</f>
        <v/>
      </c>
    </row>
    <row r="12" spans="1:37" x14ac:dyDescent="0.25">
      <c r="A12" s="1">
        <v>43709</v>
      </c>
      <c r="B12">
        <f>ROW(suivi[[#This Row],['#support.id]])-ROW(suivi[[#Headers],['#support.saison_en_cours]])</f>
        <v>9</v>
      </c>
      <c r="C12" s="7" t="str">
        <f>IF(suivi[[#This Row],['#support.saison]]=saison_en_cours,1,"")</f>
        <v/>
      </c>
      <c r="D12" t="s">
        <v>81</v>
      </c>
      <c r="F12" s="1">
        <v>44439</v>
      </c>
      <c r="G12" s="10">
        <v>3</v>
      </c>
      <c r="H12" t="s">
        <v>21</v>
      </c>
      <c r="J12" s="25"/>
      <c r="K12" s="25"/>
      <c r="O12" t="s">
        <v>174</v>
      </c>
      <c r="P12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AJ-00003</v>
      </c>
      <c r="Q12" s="7">
        <f>IF(suivi[[#This Row],['#support.nom]]="","",COUNTIF(suivi['#support.nom],suivi[[#This Row],['#support.nom]]))</f>
        <v>10</v>
      </c>
      <c r="T12" s="1"/>
      <c r="V12" s="4"/>
      <c r="AH12" t="str" cm="1">
        <f t="array" ref="AH12">_xlfn._xlws.FILTER(saisons[nom],(saisons[debut]&lt;=suivi[[#This Row],[date]])*(saisons[fin]&gt;=suivi[[#This Row],[date]]))</f>
        <v>2019-2020</v>
      </c>
      <c r="AI12">
        <f>MIN(COUNTIFS(suivi[entree.categorie],"Evènement",suivi[entree.nom],suivi[[#This Row],[entree.nom]]),1)</f>
        <v>0</v>
      </c>
      <c r="AK12" t="str" cm="1">
        <f t="array" ref="AK12">IFERROR(_xlfn.TEXTJOIN(",",TRUE,_xlfn.UNIQUE(_xlfn._xlws.FILTER(suivi['#support.traite_manuel],(suivi[[#This Row],['#support.nom]]&lt;&gt;"")*(suivi['#support.nom]=suivi[[#This Row],['#support.nom]])))),"-")</f>
        <v/>
      </c>
    </row>
    <row r="13" spans="1:37" x14ac:dyDescent="0.25">
      <c r="A13" s="1">
        <v>43709</v>
      </c>
      <c r="B13">
        <f>ROW(suivi[[#This Row],['#support.id]])-ROW(suivi[[#Headers],['#support.saison_en_cours]])</f>
        <v>10</v>
      </c>
      <c r="C13" s="7" t="str">
        <f>IF(suivi[[#This Row],['#support.saison]]=saison_en_cours,1,"")</f>
        <v/>
      </c>
      <c r="D13" t="s">
        <v>6</v>
      </c>
      <c r="E13" t="s">
        <v>157</v>
      </c>
      <c r="G13" s="10">
        <v>5</v>
      </c>
      <c r="I13" t="s">
        <v>80</v>
      </c>
      <c r="J13" s="25">
        <v>15</v>
      </c>
      <c r="K13" s="25"/>
      <c r="M13" t="s">
        <v>113</v>
      </c>
      <c r="P13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AJ-00005</v>
      </c>
      <c r="Q13" s="7">
        <f>IF(suivi[[#This Row],['#support.nom]]="","",COUNTIF(suivi['#support.nom],suivi[[#This Row],['#support.nom]]))</f>
        <v>14</v>
      </c>
      <c r="T13" s="1"/>
      <c r="V13" s="4"/>
      <c r="AH13" t="str" cm="1">
        <f t="array" ref="AH13">_xlfn._xlws.FILTER(saisons[nom],(saisons[debut]&lt;=suivi[[#This Row],[date]])*(saisons[fin]&gt;=suivi[[#This Row],[date]]))</f>
        <v>2019-2020</v>
      </c>
      <c r="AI13">
        <f>MIN(COUNTIFS(suivi[entree.categorie],"Evènement",suivi[entree.nom],suivi[[#This Row],[entree.nom]]),1)</f>
        <v>0</v>
      </c>
      <c r="AK13" t="str" cm="1">
        <f t="array" ref="AK13">IFERROR(_xlfn.TEXTJOIN(",",TRUE,_xlfn.UNIQUE(_xlfn._xlws.FILTER(suivi['#support.traite_manuel],(suivi[[#This Row],['#support.nom]]&lt;&gt;"")*(suivi['#support.nom]=suivi[[#This Row],['#support.nom]])))),"-")</f>
        <v/>
      </c>
    </row>
    <row r="14" spans="1:37" x14ac:dyDescent="0.25">
      <c r="A14" s="1">
        <v>43709</v>
      </c>
      <c r="B14">
        <f>ROW(suivi[[#This Row],['#support.id]])-ROW(suivi[[#Headers],['#support.saison_en_cours]])</f>
        <v>11</v>
      </c>
      <c r="C14" s="7" t="str">
        <f>IF(suivi[[#This Row],['#support.saison]]=saison_en_cours,1,"")</f>
        <v/>
      </c>
      <c r="D14" t="s">
        <v>81</v>
      </c>
      <c r="F14" s="1">
        <v>45169</v>
      </c>
      <c r="G14" s="10">
        <v>5</v>
      </c>
      <c r="H14" t="s">
        <v>22</v>
      </c>
      <c r="J14" s="25"/>
      <c r="K14" s="25"/>
      <c r="O14" t="s">
        <v>174</v>
      </c>
      <c r="P14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AJ-00005</v>
      </c>
      <c r="Q14" s="7">
        <f>IF(suivi[[#This Row],['#support.nom]]="","",COUNTIF(suivi['#support.nom],suivi[[#This Row],['#support.nom]]))</f>
        <v>14</v>
      </c>
      <c r="T14" s="1"/>
      <c r="V14" s="4"/>
      <c r="AH14" t="str" cm="1">
        <f t="array" ref="AH14">_xlfn._xlws.FILTER(saisons[nom],(saisons[debut]&lt;=suivi[[#This Row],[date]])*(saisons[fin]&gt;=suivi[[#This Row],[date]]))</f>
        <v>2019-2020</v>
      </c>
      <c r="AI14">
        <f>MIN(COUNTIFS(suivi[entree.categorie],"Evènement",suivi[entree.nom],suivi[[#This Row],[entree.nom]]),1)</f>
        <v>0</v>
      </c>
      <c r="AK14" t="str" cm="1">
        <f t="array" ref="AK14">IFERROR(_xlfn.TEXTJOIN(",",TRUE,_xlfn.UNIQUE(_xlfn._xlws.FILTER(suivi['#support.traite_manuel],(suivi[[#This Row],['#support.nom]]&lt;&gt;"")*(suivi['#support.nom]=suivi[[#This Row],['#support.nom]])))),"-")</f>
        <v/>
      </c>
    </row>
    <row r="15" spans="1:37" x14ac:dyDescent="0.25">
      <c r="A15" s="1">
        <v>43716</v>
      </c>
      <c r="B15">
        <f>ROW(suivi[[#This Row],['#support.id]])-ROW(suivi[[#Headers],['#support.saison_en_cours]])</f>
        <v>12</v>
      </c>
      <c r="C15" s="7" t="str">
        <f>IF(suivi[[#This Row],['#support.saison]]=saison_en_cours,1,"")</f>
        <v/>
      </c>
      <c r="D15" t="s">
        <v>120</v>
      </c>
      <c r="E15" t="s">
        <v>162</v>
      </c>
      <c r="G15" s="10">
        <v>1</v>
      </c>
      <c r="J15" s="24"/>
      <c r="K15" s="24"/>
      <c r="P15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Bon Jean</v>
      </c>
      <c r="Q15" s="7">
        <f>IF(suivi[[#This Row],['#support.nom]]="","",COUNTIF(suivi['#support.nom],suivi[[#This Row],['#support.nom]]))</f>
        <v>98</v>
      </c>
      <c r="R15" t="s">
        <v>145</v>
      </c>
      <c r="S15" t="s">
        <v>146</v>
      </c>
      <c r="T15" s="1">
        <v>35431</v>
      </c>
      <c r="U15" t="s">
        <v>147</v>
      </c>
      <c r="V15" s="4">
        <v>601020304</v>
      </c>
      <c r="W15">
        <v>1</v>
      </c>
      <c r="X15" t="s">
        <v>31</v>
      </c>
      <c r="Y15" t="s">
        <v>148</v>
      </c>
      <c r="Z15" t="s">
        <v>149</v>
      </c>
      <c r="AA15">
        <v>12345</v>
      </c>
      <c r="AB15" t="s">
        <v>150</v>
      </c>
      <c r="AC15" t="s">
        <v>47</v>
      </c>
      <c r="AD15" t="s">
        <v>151</v>
      </c>
      <c r="AE15" t="s">
        <v>152</v>
      </c>
      <c r="AF15" t="s">
        <v>151</v>
      </c>
      <c r="AG15" t="s">
        <v>15</v>
      </c>
      <c r="AH15" t="str" cm="1">
        <f t="array" ref="AH15">_xlfn._xlws.FILTER(saisons[nom],(saisons[debut]&lt;=suivi[[#This Row],[date]])*(saisons[fin]&gt;=suivi[[#This Row],[date]]))</f>
        <v>2019-2020</v>
      </c>
      <c r="AI15">
        <f>MIN(COUNTIFS(suivi[entree.categorie],"Evènement",suivi[entree.nom],suivi[[#This Row],[entree.nom]]),1)</f>
        <v>1</v>
      </c>
      <c r="AK15" t="str" cm="1">
        <f t="array" ref="AK15">IFERROR(_xlfn.TEXTJOIN(",",TRUE,_xlfn.UNIQUE(_xlfn._xlws.FILTER(suivi['#support.traite_manuel],(suivi[[#This Row],['#support.nom]]&lt;&gt;"")*(suivi['#support.nom]=suivi[[#This Row],['#support.nom]])))),"-")</f>
        <v/>
      </c>
    </row>
    <row r="16" spans="1:37" x14ac:dyDescent="0.25">
      <c r="A16" s="1">
        <v>43716</v>
      </c>
      <c r="B16">
        <f>ROW(suivi[[#This Row],['#support.id]])-ROW(suivi[[#Headers],['#support.saison_en_cours]])</f>
        <v>13</v>
      </c>
      <c r="C16" s="7" t="str">
        <f>IF(suivi[[#This Row],['#support.saison]]=saison_en_cours,1,"")</f>
        <v/>
      </c>
      <c r="D16" t="s">
        <v>0</v>
      </c>
      <c r="E16" t="s">
        <v>162</v>
      </c>
      <c r="G16" s="10"/>
      <c r="J16" s="26"/>
      <c r="K16" s="26"/>
      <c r="P16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[suivi] Evènement_Forum associations 2019_13</v>
      </c>
      <c r="Q16" s="7">
        <f>IF(suivi[[#This Row],['#support.nom]]="","",COUNTIF(suivi['#support.nom],suivi[[#This Row],['#support.nom]]))</f>
        <v>1</v>
      </c>
      <c r="T16" s="1"/>
      <c r="V16" s="4"/>
      <c r="AH16" t="str" cm="1">
        <f t="array" ref="AH16">_xlfn._xlws.FILTER(saisons[nom],(saisons[debut]&lt;=suivi[[#This Row],[date]])*(saisons[fin]&gt;=suivi[[#This Row],[date]]))</f>
        <v>2019-2020</v>
      </c>
      <c r="AI16">
        <f>MIN(COUNTIFS(suivi[entree.categorie],"Evènement",suivi[entree.nom],suivi[[#This Row],[entree.nom]]),1)</f>
        <v>1</v>
      </c>
      <c r="AK16" t="str" cm="1">
        <f t="array" ref="AK16">IFERROR(_xlfn.TEXTJOIN(",",TRUE,_xlfn.UNIQUE(_xlfn._xlws.FILTER(suivi['#support.traite_manuel],(suivi[[#This Row],['#support.nom]]&lt;&gt;"")*(suivi['#support.nom]=suivi[[#This Row],['#support.nom]])))),"-")</f>
        <v/>
      </c>
    </row>
    <row r="17" spans="1:37" x14ac:dyDescent="0.25">
      <c r="A17" s="1">
        <v>43728</v>
      </c>
      <c r="B17">
        <f>ROW(suivi[[#This Row],['#support.id]])-ROW(suivi[[#Headers],['#support.saison_en_cours]])</f>
        <v>14</v>
      </c>
      <c r="C17" s="7" t="str">
        <f>IF(suivi[[#This Row],['#support.saison]]=saison_en_cours,1,"")</f>
        <v/>
      </c>
      <c r="D17" t="s">
        <v>6</v>
      </c>
      <c r="E17" t="s">
        <v>157</v>
      </c>
      <c r="G17" s="10">
        <v>1</v>
      </c>
      <c r="I17" t="s">
        <v>5</v>
      </c>
      <c r="J17" s="24">
        <v>15</v>
      </c>
      <c r="K17" s="24"/>
      <c r="M17" t="s">
        <v>113</v>
      </c>
      <c r="P17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Bon Jean</v>
      </c>
      <c r="Q17" s="7">
        <f>IF(suivi[[#This Row],['#support.nom]]="","",COUNTIF(suivi['#support.nom],suivi[[#This Row],['#support.nom]]))</f>
        <v>98</v>
      </c>
      <c r="T17" s="1"/>
      <c r="V17" s="4"/>
      <c r="AH17" t="str" cm="1">
        <f t="array" ref="AH17">_xlfn._xlws.FILTER(saisons[nom],(saisons[debut]&lt;=suivi[[#This Row],[date]])*(saisons[fin]&gt;=suivi[[#This Row],[date]]))</f>
        <v>2019-2020</v>
      </c>
      <c r="AI17">
        <f>MIN(COUNTIFS(suivi[entree.categorie],"Evènement",suivi[entree.nom],suivi[[#This Row],[entree.nom]]),1)</f>
        <v>0</v>
      </c>
      <c r="AK17" t="str" cm="1">
        <f t="array" ref="AK17">IFERROR(_xlfn.TEXTJOIN(",",TRUE,_xlfn.UNIQUE(_xlfn._xlws.FILTER(suivi['#support.traite_manuel],(suivi[[#This Row],['#support.nom]]&lt;&gt;"")*(suivi['#support.nom]=suivi[[#This Row],['#support.nom]])))),"-")</f>
        <v/>
      </c>
    </row>
    <row r="18" spans="1:37" x14ac:dyDescent="0.25">
      <c r="A18" s="1">
        <v>43911</v>
      </c>
      <c r="B18">
        <f>ROW(suivi[[#This Row],['#support.id]])-ROW(suivi[[#Headers],['#support.saison_en_cours]])</f>
        <v>15</v>
      </c>
      <c r="C18" s="7" t="str">
        <f>IF(suivi[[#This Row],['#support.saison]]=saison_en_cours,1,"")</f>
        <v/>
      </c>
      <c r="D18" t="s">
        <v>81</v>
      </c>
      <c r="G18" s="10">
        <v>1</v>
      </c>
      <c r="J18" s="23"/>
      <c r="K18" s="23"/>
      <c r="O18" t="s">
        <v>173</v>
      </c>
      <c r="P18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Bon Jean</v>
      </c>
      <c r="Q18" s="7">
        <f>IF(suivi[[#This Row],['#support.nom]]="","",COUNTIF(suivi['#support.nom],suivi[[#This Row],['#support.nom]]))</f>
        <v>98</v>
      </c>
      <c r="T18" s="1"/>
      <c r="V18" s="4"/>
      <c r="AH18" t="str" cm="1">
        <f t="array" ref="AH18">_xlfn._xlws.FILTER(saisons[nom],(saisons[debut]&lt;=suivi[[#This Row],[date]])*(saisons[fin]&gt;=suivi[[#This Row],[date]]))</f>
        <v>2019-2020</v>
      </c>
      <c r="AI18">
        <f>MIN(COUNTIFS(suivi[entree.categorie],"Evènement",suivi[entree.nom],suivi[[#This Row],[entree.nom]]),1)</f>
        <v>0</v>
      </c>
      <c r="AK18" t="str" cm="1">
        <f t="array" ref="AK18">IFERROR(_xlfn.TEXTJOIN(",",TRUE,_xlfn.UNIQUE(_xlfn._xlws.FILTER(suivi['#support.traite_manuel],(suivi[[#This Row],['#support.nom]]&lt;&gt;"")*(suivi['#support.nom]=suivi[[#This Row],['#support.nom]])))),"-")</f>
        <v/>
      </c>
    </row>
    <row r="19" spans="1:37" x14ac:dyDescent="0.25">
      <c r="A19" s="1">
        <v>43945</v>
      </c>
      <c r="B19">
        <f>ROW(suivi[[#This Row],['#support.id]])-ROW(suivi[[#Headers],['#support.saison_en_cours]])</f>
        <v>16</v>
      </c>
      <c r="C19" s="7" t="str">
        <f>IF(suivi[[#This Row],['#support.saison]]=saison_en_cours,1,"")</f>
        <v/>
      </c>
      <c r="D19" t="s">
        <v>81</v>
      </c>
      <c r="G19" s="10">
        <v>3</v>
      </c>
      <c r="J19" s="23"/>
      <c r="K19" s="23"/>
      <c r="O19" t="s">
        <v>173</v>
      </c>
      <c r="P19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AJ-00003</v>
      </c>
      <c r="Q19" s="7">
        <f>IF(suivi[[#This Row],['#support.nom]]="","",COUNTIF(suivi['#support.nom],suivi[[#This Row],['#support.nom]]))</f>
        <v>10</v>
      </c>
      <c r="T19" s="1"/>
      <c r="V19" s="4"/>
      <c r="AH19" t="str" cm="1">
        <f t="array" ref="AH19">_xlfn._xlws.FILTER(saisons[nom],(saisons[debut]&lt;=suivi[[#This Row],[date]])*(saisons[fin]&gt;=suivi[[#This Row],[date]]))</f>
        <v>2019-2020</v>
      </c>
      <c r="AI19">
        <f>MIN(COUNTIFS(suivi[entree.categorie],"Evènement",suivi[entree.nom],suivi[[#This Row],[entree.nom]]),1)</f>
        <v>0</v>
      </c>
      <c r="AK19" t="str" cm="1">
        <f t="array" ref="AK19">IFERROR(_xlfn.TEXTJOIN(",",TRUE,_xlfn.UNIQUE(_xlfn._xlws.FILTER(suivi['#support.traite_manuel],(suivi[[#This Row],['#support.nom]]&lt;&gt;"")*(suivi['#support.nom]=suivi[[#This Row],['#support.nom]])))),"-")</f>
        <v/>
      </c>
    </row>
    <row r="20" spans="1:37" x14ac:dyDescent="0.25">
      <c r="A20" s="1">
        <v>44075</v>
      </c>
      <c r="B20">
        <f>ROW(suivi[[#This Row],['#support.id]])-ROW(suivi[[#Headers],['#support.saison_en_cours]])</f>
        <v>17</v>
      </c>
      <c r="C20" s="7" t="str">
        <f>IF(suivi[[#This Row],['#support.saison]]=saison_en_cours,1,"")</f>
        <v/>
      </c>
      <c r="D20" t="s">
        <v>6</v>
      </c>
      <c r="E20" t="s">
        <v>158</v>
      </c>
      <c r="G20" s="10">
        <v>1</v>
      </c>
      <c r="J20" s="24"/>
      <c r="K20" s="24"/>
      <c r="M20" t="s">
        <v>116</v>
      </c>
      <c r="P20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Bon Jean</v>
      </c>
      <c r="Q20" s="7">
        <f>IF(suivi[[#This Row],['#support.nom]]="","",COUNTIF(suivi['#support.nom],suivi[[#This Row],['#support.nom]]))</f>
        <v>98</v>
      </c>
      <c r="T20" s="1"/>
      <c r="V20" s="4"/>
      <c r="AH20" t="str" cm="1">
        <f t="array" ref="AH20">_xlfn._xlws.FILTER(saisons[nom],(saisons[debut]&lt;=suivi[[#This Row],[date]])*(saisons[fin]&gt;=suivi[[#This Row],[date]]))</f>
        <v>2020-2021</v>
      </c>
      <c r="AI20">
        <f>MIN(COUNTIFS(suivi[entree.categorie],"Evènement",suivi[entree.nom],suivi[[#This Row],[entree.nom]]),1)</f>
        <v>0</v>
      </c>
      <c r="AK20" t="str" cm="1">
        <f t="array" ref="AK20">IFERROR(_xlfn.TEXTJOIN(",",TRUE,_xlfn.UNIQUE(_xlfn._xlws.FILTER(suivi['#support.traite_manuel],(suivi[[#This Row],['#support.nom]]&lt;&gt;"")*(suivi['#support.nom]=suivi[[#This Row],['#support.nom]])))),"-")</f>
        <v/>
      </c>
    </row>
    <row r="21" spans="1:37" x14ac:dyDescent="0.25">
      <c r="A21" s="1">
        <v>44075</v>
      </c>
      <c r="B21">
        <f>ROW(suivi[[#This Row],['#support.id]])-ROW(suivi[[#Headers],['#support.saison_en_cours]])</f>
        <v>18</v>
      </c>
      <c r="C21" s="7" t="str">
        <f>IF(suivi[[#This Row],['#support.saison]]=saison_en_cours,1,"")</f>
        <v/>
      </c>
      <c r="D21" t="s">
        <v>6</v>
      </c>
      <c r="E21" t="s">
        <v>158</v>
      </c>
      <c r="G21" s="10">
        <v>3</v>
      </c>
      <c r="J21" s="25"/>
      <c r="K21" s="25"/>
      <c r="M21" t="s">
        <v>116</v>
      </c>
      <c r="P21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AJ-00003</v>
      </c>
      <c r="Q21" s="7">
        <f>IF(suivi[[#This Row],['#support.nom]]="","",COUNTIF(suivi['#support.nom],suivi[[#This Row],['#support.nom]]))</f>
        <v>10</v>
      </c>
      <c r="T21" s="1"/>
      <c r="V21" s="4"/>
      <c r="AH21" t="str" cm="1">
        <f t="array" ref="AH21">_xlfn._xlws.FILTER(saisons[nom],(saisons[debut]&lt;=suivi[[#This Row],[date]])*(saisons[fin]&gt;=suivi[[#This Row],[date]]))</f>
        <v>2020-2021</v>
      </c>
      <c r="AI21">
        <f>MIN(COUNTIFS(suivi[entree.categorie],"Evènement",suivi[entree.nom],suivi[[#This Row],[entree.nom]]),1)</f>
        <v>0</v>
      </c>
      <c r="AK21" t="str" cm="1">
        <f t="array" ref="AK21">IFERROR(_xlfn.TEXTJOIN(",",TRUE,_xlfn.UNIQUE(_xlfn._xlws.FILTER(suivi['#support.traite_manuel],(suivi[[#This Row],['#support.nom]]&lt;&gt;"")*(suivi['#support.nom]=suivi[[#This Row],['#support.nom]])))),"-")</f>
        <v/>
      </c>
    </row>
    <row r="22" spans="1:37" x14ac:dyDescent="0.25">
      <c r="A22" s="1">
        <v>44075</v>
      </c>
      <c r="B22">
        <f>ROW(suivi[[#This Row],['#support.id]])-ROW(suivi[[#Headers],['#support.saison_en_cours]])</f>
        <v>19</v>
      </c>
      <c r="C22" s="7" t="str">
        <f>IF(suivi[[#This Row],['#support.saison]]=saison_en_cours,1,"")</f>
        <v/>
      </c>
      <c r="D22" t="s">
        <v>81</v>
      </c>
      <c r="F22" s="1">
        <v>44439</v>
      </c>
      <c r="G22" s="10">
        <v>3</v>
      </c>
      <c r="H22" t="s">
        <v>21</v>
      </c>
      <c r="J22" s="25"/>
      <c r="K22" s="25"/>
      <c r="O22" t="s">
        <v>174</v>
      </c>
      <c r="P22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AJ-00003</v>
      </c>
      <c r="Q22" s="7">
        <f>IF(suivi[[#This Row],['#support.nom]]="","",COUNTIF(suivi['#support.nom],suivi[[#This Row],['#support.nom]]))</f>
        <v>10</v>
      </c>
      <c r="T22" s="1"/>
      <c r="V22" s="4"/>
      <c r="AH22" t="str" cm="1">
        <f t="array" ref="AH22">_xlfn._xlws.FILTER(saisons[nom],(saisons[debut]&lt;=suivi[[#This Row],[date]])*(saisons[fin]&gt;=suivi[[#This Row],[date]]))</f>
        <v>2020-2021</v>
      </c>
      <c r="AI22">
        <f>MIN(COUNTIFS(suivi[entree.categorie],"Evènement",suivi[entree.nom],suivi[[#This Row],[entree.nom]]),1)</f>
        <v>0</v>
      </c>
      <c r="AK22" t="str" cm="1">
        <f t="array" ref="AK22">IFERROR(_xlfn.TEXTJOIN(",",TRUE,_xlfn.UNIQUE(_xlfn._xlws.FILTER(suivi['#support.traite_manuel],(suivi[[#This Row],['#support.nom]]&lt;&gt;"")*(suivi['#support.nom]=suivi[[#This Row],['#support.nom]])))),"-")</f>
        <v/>
      </c>
    </row>
    <row r="23" spans="1:37" x14ac:dyDescent="0.25">
      <c r="A23" s="1">
        <v>44075</v>
      </c>
      <c r="B23">
        <f>ROW(suivi[[#This Row],['#support.id]])-ROW(suivi[[#Headers],['#support.saison_en_cours]])</f>
        <v>20</v>
      </c>
      <c r="C23" s="7" t="str">
        <f>IF(suivi[[#This Row],['#support.saison]]=saison_en_cours,1,"")</f>
        <v/>
      </c>
      <c r="D23" t="s">
        <v>6</v>
      </c>
      <c r="E23" t="s">
        <v>158</v>
      </c>
      <c r="G23" s="10">
        <v>5</v>
      </c>
      <c r="J23" s="25"/>
      <c r="K23" s="25"/>
      <c r="M23" t="s">
        <v>116</v>
      </c>
      <c r="P23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AJ-00005</v>
      </c>
      <c r="Q23" s="7">
        <f>IF(suivi[[#This Row],['#support.nom]]="","",COUNTIF(suivi['#support.nom],suivi[[#This Row],['#support.nom]]))</f>
        <v>14</v>
      </c>
      <c r="T23" s="1"/>
      <c r="V23" s="4"/>
      <c r="AH23" t="str" cm="1">
        <f t="array" ref="AH23">_xlfn._xlws.FILTER(saisons[nom],(saisons[debut]&lt;=suivi[[#This Row],[date]])*(saisons[fin]&gt;=suivi[[#This Row],[date]]))</f>
        <v>2020-2021</v>
      </c>
      <c r="AI23">
        <f>MIN(COUNTIFS(suivi[entree.categorie],"Evènement",suivi[entree.nom],suivi[[#This Row],[entree.nom]]),1)</f>
        <v>0</v>
      </c>
      <c r="AK23" t="str" cm="1">
        <f t="array" ref="AK23">IFERROR(_xlfn.TEXTJOIN(",",TRUE,_xlfn.UNIQUE(_xlfn._xlws.FILTER(suivi['#support.traite_manuel],(suivi[[#This Row],['#support.nom]]&lt;&gt;"")*(suivi['#support.nom]=suivi[[#This Row],['#support.nom]])))),"-")</f>
        <v/>
      </c>
    </row>
    <row r="24" spans="1:37" x14ac:dyDescent="0.25">
      <c r="A24" s="1">
        <v>44075</v>
      </c>
      <c r="B24">
        <f>ROW(suivi[[#This Row],['#support.id]])-ROW(suivi[[#Headers],['#support.saison_en_cours]])</f>
        <v>21</v>
      </c>
      <c r="C24" s="7" t="str">
        <f>IF(suivi[[#This Row],['#support.saison]]=saison_en_cours,1,"")</f>
        <v/>
      </c>
      <c r="D24" t="s">
        <v>81</v>
      </c>
      <c r="F24" s="1">
        <v>45169</v>
      </c>
      <c r="G24" s="10">
        <v>5</v>
      </c>
      <c r="H24" t="s">
        <v>22</v>
      </c>
      <c r="J24" s="25"/>
      <c r="K24" s="25"/>
      <c r="O24" t="s">
        <v>174</v>
      </c>
      <c r="P24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AJ-00005</v>
      </c>
      <c r="Q24" s="7">
        <f>IF(suivi[[#This Row],['#support.nom]]="","",COUNTIF(suivi['#support.nom],suivi[[#This Row],['#support.nom]]))</f>
        <v>14</v>
      </c>
      <c r="T24" s="1"/>
      <c r="V24" s="4"/>
      <c r="AH24" t="str" cm="1">
        <f t="array" ref="AH24">_xlfn._xlws.FILTER(saisons[nom],(saisons[debut]&lt;=suivi[[#This Row],[date]])*(saisons[fin]&gt;=suivi[[#This Row],[date]]))</f>
        <v>2020-2021</v>
      </c>
      <c r="AI24">
        <f>MIN(COUNTIFS(suivi[entree.categorie],"Evènement",suivi[entree.nom],suivi[[#This Row],[entree.nom]]),1)</f>
        <v>0</v>
      </c>
      <c r="AK24" t="str" cm="1">
        <f t="array" ref="AK24">IFERROR(_xlfn.TEXTJOIN(",",TRUE,_xlfn.UNIQUE(_xlfn._xlws.FILTER(suivi['#support.traite_manuel],(suivi[[#This Row],['#support.nom]]&lt;&gt;"")*(suivi['#support.nom]=suivi[[#This Row],['#support.nom]])))),"-")</f>
        <v/>
      </c>
    </row>
    <row r="25" spans="1:37" x14ac:dyDescent="0.25">
      <c r="A25" s="1">
        <v>44090</v>
      </c>
      <c r="B25">
        <f>ROW(suivi[[#This Row],['#support.id]])-ROW(suivi[[#Headers],['#support.saison_en_cours]])</f>
        <v>22</v>
      </c>
      <c r="C25" s="7" t="str">
        <f>IF(suivi[[#This Row],['#support.saison]]=saison_en_cours,1,"")</f>
        <v/>
      </c>
      <c r="D25" t="s">
        <v>81</v>
      </c>
      <c r="G25" s="10">
        <v>5</v>
      </c>
      <c r="J25" s="23"/>
      <c r="K25" s="23"/>
      <c r="O25" t="s">
        <v>173</v>
      </c>
      <c r="P25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AJ-00005</v>
      </c>
      <c r="Q25" s="7">
        <f>IF(suivi[[#This Row],['#support.nom]]="","",COUNTIF(suivi['#support.nom],suivi[[#This Row],['#support.nom]]))</f>
        <v>14</v>
      </c>
      <c r="T25" s="1"/>
      <c r="V25" s="4"/>
      <c r="AH25" t="str" cm="1">
        <f t="array" ref="AH25">_xlfn._xlws.FILTER(saisons[nom],(saisons[debut]&lt;=suivi[[#This Row],[date]])*(saisons[fin]&gt;=suivi[[#This Row],[date]]))</f>
        <v>2020-2021</v>
      </c>
      <c r="AI25">
        <f>MIN(COUNTIFS(suivi[entree.categorie],"Evènement",suivi[entree.nom],suivi[[#This Row],[entree.nom]]),1)</f>
        <v>0</v>
      </c>
      <c r="AK25" t="str" cm="1">
        <f t="array" ref="AK25">IFERROR(_xlfn.TEXTJOIN(",",TRUE,_xlfn.UNIQUE(_xlfn._xlws.FILTER(suivi['#support.traite_manuel],(suivi[[#This Row],['#support.nom]]&lt;&gt;"")*(suivi['#support.nom]=suivi[[#This Row],['#support.nom]])))),"-")</f>
        <v/>
      </c>
    </row>
    <row r="26" spans="1:37" x14ac:dyDescent="0.25">
      <c r="A26" s="1">
        <v>44440</v>
      </c>
      <c r="B26">
        <f>ROW(suivi[[#This Row],['#support.id]])-ROW(suivi[[#Headers],['#support.saison_en_cours]])</f>
        <v>23</v>
      </c>
      <c r="C26" s="7" t="str">
        <f>IF(suivi[[#This Row],['#support.saison]]=saison_en_cours,1,"")</f>
        <v/>
      </c>
      <c r="D26" t="s">
        <v>6</v>
      </c>
      <c r="E26" t="s">
        <v>159</v>
      </c>
      <c r="G26" s="10">
        <v>1</v>
      </c>
      <c r="J26" s="24"/>
      <c r="K26" s="24"/>
      <c r="M26" t="s">
        <v>116</v>
      </c>
      <c r="P26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Bon Jean</v>
      </c>
      <c r="Q26" s="7">
        <f>IF(suivi[[#This Row],['#support.nom]]="","",COUNTIF(suivi['#support.nom],suivi[[#This Row],['#support.nom]]))</f>
        <v>98</v>
      </c>
      <c r="T26" s="1"/>
      <c r="V26" s="4"/>
      <c r="AH26" t="str" cm="1">
        <f t="array" ref="AH26">_xlfn._xlws.FILTER(saisons[nom],(saisons[debut]&lt;=suivi[[#This Row],[date]])*(saisons[fin]&gt;=suivi[[#This Row],[date]]))</f>
        <v>2021-2022</v>
      </c>
      <c r="AI26">
        <f>MIN(COUNTIFS(suivi[entree.categorie],"Evènement",suivi[entree.nom],suivi[[#This Row],[entree.nom]]),1)</f>
        <v>0</v>
      </c>
      <c r="AK26" t="str" cm="1">
        <f t="array" ref="AK26">IFERROR(_xlfn.TEXTJOIN(",",TRUE,_xlfn.UNIQUE(_xlfn._xlws.FILTER(suivi['#support.traite_manuel],(suivi[[#This Row],['#support.nom]]&lt;&gt;"")*(suivi['#support.nom]=suivi[[#This Row],['#support.nom]])))),"-")</f>
        <v/>
      </c>
    </row>
    <row r="27" spans="1:37" x14ac:dyDescent="0.25">
      <c r="A27" s="1">
        <v>44440</v>
      </c>
      <c r="B27">
        <f>ROW(suivi[[#This Row],['#support.id]])-ROW(suivi[[#Headers],['#support.saison_en_cours]])</f>
        <v>24</v>
      </c>
      <c r="C27" s="7" t="str">
        <f>IF(suivi[[#This Row],['#support.saison]]=saison_en_cours,1,"")</f>
        <v/>
      </c>
      <c r="D27" t="s">
        <v>6</v>
      </c>
      <c r="E27" t="s">
        <v>159</v>
      </c>
      <c r="G27" s="10">
        <v>3</v>
      </c>
      <c r="J27" s="25"/>
      <c r="K27" s="25"/>
      <c r="M27" t="s">
        <v>116</v>
      </c>
      <c r="P27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AJ-00003</v>
      </c>
      <c r="Q27" s="7">
        <f>IF(suivi[[#This Row],['#support.nom]]="","",COUNTIF(suivi['#support.nom],suivi[[#This Row],['#support.nom]]))</f>
        <v>10</v>
      </c>
      <c r="T27" s="1"/>
      <c r="V27" s="4"/>
      <c r="AH27" t="str" cm="1">
        <f t="array" ref="AH27">_xlfn._xlws.FILTER(saisons[nom],(saisons[debut]&lt;=suivi[[#This Row],[date]])*(saisons[fin]&gt;=suivi[[#This Row],[date]]))</f>
        <v>2021-2022</v>
      </c>
      <c r="AI27">
        <f>MIN(COUNTIFS(suivi[entree.categorie],"Evènement",suivi[entree.nom],suivi[[#This Row],[entree.nom]]),1)</f>
        <v>0</v>
      </c>
      <c r="AK27" t="str" cm="1">
        <f t="array" ref="AK27">IFERROR(_xlfn.TEXTJOIN(",",TRUE,_xlfn.UNIQUE(_xlfn._xlws.FILTER(suivi['#support.traite_manuel],(suivi[[#This Row],['#support.nom]]&lt;&gt;"")*(suivi['#support.nom]=suivi[[#This Row],['#support.nom]])))),"-")</f>
        <v/>
      </c>
    </row>
    <row r="28" spans="1:37" x14ac:dyDescent="0.25">
      <c r="A28" s="1">
        <v>44440</v>
      </c>
      <c r="B28">
        <f>ROW(suivi[[#This Row],['#support.id]])-ROW(suivi[[#Headers],['#support.saison_en_cours]])</f>
        <v>25</v>
      </c>
      <c r="C28" s="7" t="str">
        <f>IF(suivi[[#This Row],['#support.saison]]=saison_en_cours,1,"")</f>
        <v/>
      </c>
      <c r="D28" t="s">
        <v>81</v>
      </c>
      <c r="F28" s="1">
        <v>45169</v>
      </c>
      <c r="G28" s="10">
        <v>3</v>
      </c>
      <c r="H28" t="s">
        <v>23</v>
      </c>
      <c r="J28" s="25"/>
      <c r="K28" s="25"/>
      <c r="O28" t="s">
        <v>174</v>
      </c>
      <c r="P28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AJ-00003</v>
      </c>
      <c r="Q28" s="7">
        <f>IF(suivi[[#This Row],['#support.nom]]="","",COUNTIF(suivi['#support.nom],suivi[[#This Row],['#support.nom]]))</f>
        <v>10</v>
      </c>
      <c r="T28" s="1"/>
      <c r="V28" s="4"/>
      <c r="AH28" t="str" cm="1">
        <f t="array" ref="AH28">_xlfn._xlws.FILTER(saisons[nom],(saisons[debut]&lt;=suivi[[#This Row],[date]])*(saisons[fin]&gt;=suivi[[#This Row],[date]]))</f>
        <v>2021-2022</v>
      </c>
      <c r="AI28">
        <f>MIN(COUNTIFS(suivi[entree.categorie],"Evènement",suivi[entree.nom],suivi[[#This Row],[entree.nom]]),1)</f>
        <v>0</v>
      </c>
      <c r="AK28" t="str" cm="1">
        <f t="array" ref="AK28">IFERROR(_xlfn.TEXTJOIN(",",TRUE,_xlfn.UNIQUE(_xlfn._xlws.FILTER(suivi['#support.traite_manuel],(suivi[[#This Row],['#support.nom]]&lt;&gt;"")*(suivi['#support.nom]=suivi[[#This Row],['#support.nom]])))),"-")</f>
        <v/>
      </c>
    </row>
    <row r="29" spans="1:37" x14ac:dyDescent="0.25">
      <c r="A29" s="1">
        <v>44440</v>
      </c>
      <c r="B29">
        <f>ROW(suivi[[#This Row],['#support.id]])-ROW(suivi[[#Headers],['#support.saison_en_cours]])</f>
        <v>26</v>
      </c>
      <c r="C29" s="7" t="str">
        <f>IF(suivi[[#This Row],['#support.saison]]=saison_en_cours,1,"")</f>
        <v/>
      </c>
      <c r="D29" t="s">
        <v>6</v>
      </c>
      <c r="E29" t="s">
        <v>159</v>
      </c>
      <c r="G29" s="10">
        <v>5</v>
      </c>
      <c r="J29" s="25"/>
      <c r="K29" s="25"/>
      <c r="M29" t="s">
        <v>116</v>
      </c>
      <c r="P29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AJ-00005</v>
      </c>
      <c r="Q29" s="7">
        <f>IF(suivi[[#This Row],['#support.nom]]="","",COUNTIF(suivi['#support.nom],suivi[[#This Row],['#support.nom]]))</f>
        <v>14</v>
      </c>
      <c r="T29" s="1"/>
      <c r="V29" s="4"/>
      <c r="AH29" t="str" cm="1">
        <f t="array" ref="AH29">_xlfn._xlws.FILTER(saisons[nom],(saisons[debut]&lt;=suivi[[#This Row],[date]])*(saisons[fin]&gt;=suivi[[#This Row],[date]]))</f>
        <v>2021-2022</v>
      </c>
      <c r="AI29">
        <f>MIN(COUNTIFS(suivi[entree.categorie],"Evènement",suivi[entree.nom],suivi[[#This Row],[entree.nom]]),1)</f>
        <v>0</v>
      </c>
      <c r="AK29" t="str" cm="1">
        <f t="array" ref="AK29">IFERROR(_xlfn.TEXTJOIN(",",TRUE,_xlfn.UNIQUE(_xlfn._xlws.FILTER(suivi['#support.traite_manuel],(suivi[[#This Row],['#support.nom]]&lt;&gt;"")*(suivi['#support.nom]=suivi[[#This Row],['#support.nom]])))),"-")</f>
        <v/>
      </c>
    </row>
    <row r="30" spans="1:37" x14ac:dyDescent="0.25">
      <c r="A30" s="1">
        <v>44440</v>
      </c>
      <c r="B30">
        <f>ROW(suivi[[#This Row],['#support.id]])-ROW(suivi[[#Headers],['#support.saison_en_cours]])</f>
        <v>27</v>
      </c>
      <c r="C30" s="7" t="str">
        <f>IF(suivi[[#This Row],['#support.saison]]=saison_en_cours,1,"")</f>
        <v/>
      </c>
      <c r="D30" t="s">
        <v>81</v>
      </c>
      <c r="F30" s="1">
        <v>45169</v>
      </c>
      <c r="G30" s="10">
        <v>5</v>
      </c>
      <c r="H30" t="s">
        <v>22</v>
      </c>
      <c r="J30" s="25"/>
      <c r="K30" s="25"/>
      <c r="O30" t="s">
        <v>174</v>
      </c>
      <c r="P30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AJ-00005</v>
      </c>
      <c r="Q30" s="7">
        <f>IF(suivi[[#This Row],['#support.nom]]="","",COUNTIF(suivi['#support.nom],suivi[[#This Row],['#support.nom]]))</f>
        <v>14</v>
      </c>
      <c r="T30" s="1"/>
      <c r="V30" s="4"/>
      <c r="AH30" t="str" cm="1">
        <f t="array" ref="AH30">_xlfn._xlws.FILTER(saisons[nom],(saisons[debut]&lt;=suivi[[#This Row],[date]])*(saisons[fin]&gt;=suivi[[#This Row],[date]]))</f>
        <v>2021-2022</v>
      </c>
      <c r="AI30">
        <f>MIN(COUNTIFS(suivi[entree.categorie],"Evènement",suivi[entree.nom],suivi[[#This Row],[entree.nom]]),1)</f>
        <v>0</v>
      </c>
      <c r="AK30" t="str" cm="1">
        <f t="array" ref="AK30">IFERROR(_xlfn.TEXTJOIN(",",TRUE,_xlfn.UNIQUE(_xlfn._xlws.FILTER(suivi['#support.traite_manuel],(suivi[[#This Row],['#support.nom]]&lt;&gt;"")*(suivi['#support.nom]=suivi[[#This Row],['#support.nom]])))),"-")</f>
        <v/>
      </c>
    </row>
    <row r="31" spans="1:37" x14ac:dyDescent="0.25">
      <c r="A31" s="1">
        <v>44805</v>
      </c>
      <c r="B31">
        <f>ROW(suivi[[#This Row],['#support.id]])-ROW(suivi[[#Headers],['#support.saison_en_cours]])</f>
        <v>28</v>
      </c>
      <c r="C31" s="7" t="str">
        <f>IF(suivi[[#This Row],['#support.saison]]=saison_en_cours,1,"")</f>
        <v/>
      </c>
      <c r="D31" t="s">
        <v>6</v>
      </c>
      <c r="E31" t="s">
        <v>160</v>
      </c>
      <c r="G31" s="10">
        <v>1</v>
      </c>
      <c r="I31" t="s">
        <v>80</v>
      </c>
      <c r="J31" s="24">
        <v>15</v>
      </c>
      <c r="K31" s="24"/>
      <c r="M31" t="s">
        <v>113</v>
      </c>
      <c r="P31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Bon Jean</v>
      </c>
      <c r="Q31" s="7">
        <f>IF(suivi[[#This Row],['#support.nom]]="","",COUNTIF(suivi['#support.nom],suivi[[#This Row],['#support.nom]]))</f>
        <v>98</v>
      </c>
      <c r="T31" s="1"/>
      <c r="V31" s="4"/>
      <c r="AH31" t="str" cm="1">
        <f t="array" ref="AH31">_xlfn._xlws.FILTER(saisons[nom],(saisons[debut]&lt;=suivi[[#This Row],[date]])*(saisons[fin]&gt;=suivi[[#This Row],[date]]))</f>
        <v>2022-2023</v>
      </c>
      <c r="AI31">
        <f>MIN(COUNTIFS(suivi[entree.categorie],"Evènement",suivi[entree.nom],suivi[[#This Row],[entree.nom]]),1)</f>
        <v>0</v>
      </c>
      <c r="AK31" t="str" cm="1">
        <f t="array" ref="AK31">IFERROR(_xlfn.TEXTJOIN(",",TRUE,_xlfn.UNIQUE(_xlfn._xlws.FILTER(suivi['#support.traite_manuel],(suivi[[#This Row],['#support.nom]]&lt;&gt;"")*(suivi['#support.nom]=suivi[[#This Row],['#support.nom]])))),"-")</f>
        <v/>
      </c>
    </row>
    <row r="32" spans="1:37" x14ac:dyDescent="0.25">
      <c r="A32" s="1">
        <v>44805</v>
      </c>
      <c r="B32">
        <f>ROW(suivi[[#This Row],['#support.id]])-ROW(suivi[[#Headers],['#support.saison_en_cours]])</f>
        <v>29</v>
      </c>
      <c r="C32" s="7" t="str">
        <f>IF(suivi[[#This Row],['#support.saison]]=saison_en_cours,1,"")</f>
        <v/>
      </c>
      <c r="D32" t="s">
        <v>6</v>
      </c>
      <c r="E32" t="s">
        <v>160</v>
      </c>
      <c r="G32" s="10">
        <v>5</v>
      </c>
      <c r="I32" t="s">
        <v>80</v>
      </c>
      <c r="J32" s="25">
        <v>15</v>
      </c>
      <c r="K32" s="25"/>
      <c r="M32" t="s">
        <v>113</v>
      </c>
      <c r="P32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AJ-00005</v>
      </c>
      <c r="Q32" s="7">
        <f>IF(suivi[[#This Row],['#support.nom]]="","",COUNTIF(suivi['#support.nom],suivi[[#This Row],['#support.nom]]))</f>
        <v>14</v>
      </c>
      <c r="T32" s="1"/>
      <c r="V32" s="4"/>
      <c r="AH32" t="str" cm="1">
        <f t="array" ref="AH32">_xlfn._xlws.FILTER(saisons[nom],(saisons[debut]&lt;=suivi[[#This Row],[date]])*(saisons[fin]&gt;=suivi[[#This Row],[date]]))</f>
        <v>2022-2023</v>
      </c>
      <c r="AI32">
        <f>MIN(COUNTIFS(suivi[entree.categorie],"Evènement",suivi[entree.nom],suivi[[#This Row],[entree.nom]]),1)</f>
        <v>0</v>
      </c>
      <c r="AK32" t="str" cm="1">
        <f t="array" ref="AK32">IFERROR(_xlfn.TEXTJOIN(",",TRUE,_xlfn.UNIQUE(_xlfn._xlws.FILTER(suivi['#support.traite_manuel],(suivi[[#This Row],['#support.nom]]&lt;&gt;"")*(suivi['#support.nom]=suivi[[#This Row],['#support.nom]])))),"-")</f>
        <v/>
      </c>
    </row>
    <row r="33" spans="1:37" x14ac:dyDescent="0.25">
      <c r="A33" s="1">
        <v>44805</v>
      </c>
      <c r="B33">
        <f>ROW(suivi[[#This Row],['#support.id]])-ROW(suivi[[#Headers],['#support.saison_en_cours]])</f>
        <v>30</v>
      </c>
      <c r="C33" s="7" t="str">
        <f>IF(suivi[[#This Row],['#support.saison]]=saison_en_cours,1,"")</f>
        <v/>
      </c>
      <c r="D33" t="s">
        <v>81</v>
      </c>
      <c r="F33" s="1">
        <v>45169</v>
      </c>
      <c r="G33" s="10">
        <v>5</v>
      </c>
      <c r="H33" t="s">
        <v>22</v>
      </c>
      <c r="J33" s="25"/>
      <c r="K33" s="25"/>
      <c r="O33" t="s">
        <v>174</v>
      </c>
      <c r="P33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AJ-00005</v>
      </c>
      <c r="Q33" s="7">
        <f>IF(suivi[[#This Row],['#support.nom]]="","",COUNTIF(suivi['#support.nom],suivi[[#This Row],['#support.nom]]))</f>
        <v>14</v>
      </c>
      <c r="T33" s="1"/>
      <c r="V33" s="4"/>
      <c r="AH33" t="str" cm="1">
        <f t="array" ref="AH33">_xlfn._xlws.FILTER(saisons[nom],(saisons[debut]&lt;=suivi[[#This Row],[date]])*(saisons[fin]&gt;=suivi[[#This Row],[date]]))</f>
        <v>2022-2023</v>
      </c>
      <c r="AI33">
        <f>MIN(COUNTIFS(suivi[entree.categorie],"Evènement",suivi[entree.nom],suivi[[#This Row],[entree.nom]]),1)</f>
        <v>0</v>
      </c>
      <c r="AK33" t="str" cm="1">
        <f t="array" ref="AK33">IFERROR(_xlfn.TEXTJOIN(",",TRUE,_xlfn.UNIQUE(_xlfn._xlws.FILTER(suivi['#support.traite_manuel],(suivi[[#This Row],['#support.nom]]&lt;&gt;"")*(suivi['#support.nom]=suivi[[#This Row],['#support.nom]])))),"-")</f>
        <v/>
      </c>
    </row>
    <row r="34" spans="1:37" x14ac:dyDescent="0.25">
      <c r="A34" s="1">
        <v>45170</v>
      </c>
      <c r="B34">
        <f>ROW(suivi[[#This Row],['#support.id]])-ROW(suivi[[#Headers],['#support.saison_en_cours]])</f>
        <v>31</v>
      </c>
      <c r="C34" s="7" t="str">
        <f>IF(suivi[[#This Row],['#support.saison]]=saison_en_cours,1,"")</f>
        <v/>
      </c>
      <c r="D34" t="s">
        <v>81</v>
      </c>
      <c r="G34" s="10">
        <v>1</v>
      </c>
      <c r="H34" t="s">
        <v>23</v>
      </c>
      <c r="J34" s="24"/>
      <c r="K34" s="24"/>
      <c r="O34" t="s">
        <v>174</v>
      </c>
      <c r="P34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Bon Jean</v>
      </c>
      <c r="Q34" s="7">
        <f>IF(suivi[[#This Row],['#support.nom]]="","",COUNTIF(suivi['#support.nom],suivi[[#This Row],['#support.nom]]))</f>
        <v>98</v>
      </c>
      <c r="T34" s="1"/>
      <c r="V34" s="4"/>
      <c r="AH34" t="str" cm="1">
        <f t="array" ref="AH34">_xlfn._xlws.FILTER(saisons[nom],(saisons[debut]&lt;=suivi[[#This Row],[date]])*(saisons[fin]&gt;=suivi[[#This Row],[date]]))</f>
        <v>2023-2024</v>
      </c>
      <c r="AI34">
        <f>MIN(COUNTIFS(suivi[entree.categorie],"Evènement",suivi[entree.nom],suivi[[#This Row],[entree.nom]]),1)</f>
        <v>0</v>
      </c>
      <c r="AK34" t="str" cm="1">
        <f t="array" ref="AK34">IFERROR(_xlfn.TEXTJOIN(",",TRUE,_xlfn.UNIQUE(_xlfn._xlws.FILTER(suivi['#support.traite_manuel],(suivi[[#This Row],['#support.nom]]&lt;&gt;"")*(suivi['#support.nom]=suivi[[#This Row],['#support.nom]])))),"-")</f>
        <v/>
      </c>
    </row>
    <row r="35" spans="1:37" x14ac:dyDescent="0.25">
      <c r="A35" s="1">
        <v>45170</v>
      </c>
      <c r="B35">
        <f>ROW(suivi[[#This Row],['#support.id]])-ROW(suivi[[#Headers],['#support.saison_en_cours]])</f>
        <v>32</v>
      </c>
      <c r="C35" s="7" t="str">
        <f>IF(suivi[[#This Row],['#support.saison]]=saison_en_cours,1,"")</f>
        <v/>
      </c>
      <c r="D35" t="s">
        <v>81</v>
      </c>
      <c r="F35" s="1">
        <v>45535</v>
      </c>
      <c r="G35" s="10">
        <v>5</v>
      </c>
      <c r="H35" t="s">
        <v>20</v>
      </c>
      <c r="J35" s="25"/>
      <c r="K35" s="25"/>
      <c r="O35" t="s">
        <v>174</v>
      </c>
      <c r="P35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AJ-00005</v>
      </c>
      <c r="Q35" s="7">
        <f>IF(suivi[[#This Row],['#support.nom]]="","",COUNTIF(suivi['#support.nom],suivi[[#This Row],['#support.nom]]))</f>
        <v>14</v>
      </c>
      <c r="T35" s="1"/>
      <c r="V35" s="4"/>
      <c r="AH35" t="str" cm="1">
        <f t="array" ref="AH35">_xlfn._xlws.FILTER(saisons[nom],(saisons[debut]&lt;=suivi[[#This Row],[date]])*(saisons[fin]&gt;=suivi[[#This Row],[date]]))</f>
        <v>2023-2024</v>
      </c>
      <c r="AI35">
        <f>MIN(COUNTIFS(suivi[entree.categorie],"Evènement",suivi[entree.nom],suivi[[#This Row],[entree.nom]]),1)</f>
        <v>0</v>
      </c>
      <c r="AK35" t="str" cm="1">
        <f t="array" ref="AK35">IFERROR(_xlfn.TEXTJOIN(",",TRUE,_xlfn.UNIQUE(_xlfn._xlws.FILTER(suivi['#support.traite_manuel],(suivi[[#This Row],['#support.nom]]&lt;&gt;"")*(suivi['#support.nom]=suivi[[#This Row],['#support.nom]])))),"-")</f>
        <v/>
      </c>
    </row>
    <row r="36" spans="1:37" x14ac:dyDescent="0.25">
      <c r="A36" s="1">
        <v>45172</v>
      </c>
      <c r="B36">
        <f>ROW(suivi[[#This Row],['#support.id]])-ROW(suivi[[#Headers],['#support.saison_en_cours]])</f>
        <v>33</v>
      </c>
      <c r="C36" s="7" t="str">
        <f>IF(suivi[[#This Row],['#support.saison]]=saison_en_cours,1,"")</f>
        <v/>
      </c>
      <c r="D36" t="s">
        <v>0</v>
      </c>
      <c r="E36" t="s">
        <v>179</v>
      </c>
      <c r="G36" s="10"/>
      <c r="J36" s="26"/>
      <c r="K36" s="26"/>
      <c r="P36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[suivi] Evènement_Forum associations 2023_33</v>
      </c>
      <c r="Q36" s="7">
        <f>IF(suivi[[#This Row],['#support.nom]]="","",COUNTIF(suivi['#support.nom],suivi[[#This Row],['#support.nom]]))</f>
        <v>1</v>
      </c>
      <c r="T36" s="1"/>
      <c r="V36" s="4"/>
      <c r="AH36" t="str" cm="1">
        <f t="array" ref="AH36">_xlfn._xlws.FILTER(saisons[nom],(saisons[debut]&lt;=suivi[[#This Row],[date]])*(saisons[fin]&gt;=suivi[[#This Row],[date]]))</f>
        <v>2023-2024</v>
      </c>
      <c r="AI36">
        <f>MIN(COUNTIFS(suivi[entree.categorie],"Evènement",suivi[entree.nom],suivi[[#This Row],[entree.nom]]),1)</f>
        <v>1</v>
      </c>
      <c r="AK36" t="str" cm="1">
        <f t="array" ref="AK36">IFERROR(_xlfn.TEXTJOIN(",",TRUE,_xlfn.UNIQUE(_xlfn._xlws.FILTER(suivi['#support.traite_manuel],(suivi[[#This Row],['#support.nom]]&lt;&gt;"")*(suivi['#support.nom]=suivi[[#This Row],['#support.nom]])))),"-")</f>
        <v/>
      </c>
    </row>
    <row r="37" spans="1:37" x14ac:dyDescent="0.25">
      <c r="A37" s="1">
        <v>45184</v>
      </c>
      <c r="B37">
        <f>ROW(suivi[[#This Row],['#support.id]])-ROW(suivi[[#Headers],['#support.saison_en_cours]])</f>
        <v>34</v>
      </c>
      <c r="C37" s="7" t="str">
        <f>IF(suivi[[#This Row],['#support.saison]]=saison_en_cours,1,"")</f>
        <v/>
      </c>
      <c r="D37" t="s">
        <v>7</v>
      </c>
      <c r="G37" s="10">
        <v>1</v>
      </c>
      <c r="J37" s="24"/>
      <c r="K37" s="24"/>
      <c r="P37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Bon Jean</v>
      </c>
      <c r="Q37" s="7">
        <f>IF(suivi[[#This Row],['#support.nom]]="","",COUNTIF(suivi['#support.nom],suivi[[#This Row],['#support.nom]]))</f>
        <v>98</v>
      </c>
      <c r="T37" s="1"/>
      <c r="V37" s="4"/>
      <c r="AH37" t="str" cm="1">
        <f t="array" ref="AH37">_xlfn._xlws.FILTER(saisons[nom],(saisons[debut]&lt;=suivi[[#This Row],[date]])*(saisons[fin]&gt;=suivi[[#This Row],[date]]))</f>
        <v>2023-2024</v>
      </c>
      <c r="AI37">
        <f>MIN(COUNTIFS(suivi[entree.categorie],"Evènement",suivi[entree.nom],suivi[[#This Row],[entree.nom]]),1)</f>
        <v>0</v>
      </c>
      <c r="AK37" t="str" cm="1">
        <f t="array" ref="AK37">IFERROR(_xlfn.TEXTJOIN(",",TRUE,_xlfn.UNIQUE(_xlfn._xlws.FILTER(suivi['#support.traite_manuel],(suivi[[#This Row],['#support.nom]]&lt;&gt;"")*(suivi['#support.nom]=suivi[[#This Row],['#support.nom]])))),"-")</f>
        <v/>
      </c>
    </row>
    <row r="38" spans="1:37" x14ac:dyDescent="0.25">
      <c r="A38" s="1">
        <v>45191</v>
      </c>
      <c r="B38">
        <f>ROW(suivi[[#This Row],['#support.id]])-ROW(suivi[[#Headers],['#support.saison_en_cours]])</f>
        <v>35</v>
      </c>
      <c r="C38" s="7" t="str">
        <f>IF(suivi[[#This Row],['#support.saison]]=saison_en_cours,1,"")</f>
        <v/>
      </c>
      <c r="D38" t="s">
        <v>7</v>
      </c>
      <c r="G38" s="10">
        <v>1</v>
      </c>
      <c r="J38" s="24"/>
      <c r="K38" s="24"/>
      <c r="P38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Bon Jean</v>
      </c>
      <c r="Q38" s="7">
        <f>IF(suivi[[#This Row],['#support.nom]]="","",COUNTIF(suivi['#support.nom],suivi[[#This Row],['#support.nom]]))</f>
        <v>98</v>
      </c>
      <c r="T38" s="1"/>
      <c r="V38" s="4"/>
      <c r="AH38" t="str" cm="1">
        <f t="array" ref="AH38">_xlfn._xlws.FILTER(saisons[nom],(saisons[debut]&lt;=suivi[[#This Row],[date]])*(saisons[fin]&gt;=suivi[[#This Row],[date]]))</f>
        <v>2023-2024</v>
      </c>
      <c r="AI38">
        <f>MIN(COUNTIFS(suivi[entree.categorie],"Evènement",suivi[entree.nom],suivi[[#This Row],[entree.nom]]),1)</f>
        <v>0</v>
      </c>
      <c r="AK38" t="str" cm="1">
        <f t="array" ref="AK38">IFERROR(_xlfn.TEXTJOIN(",",TRUE,_xlfn.UNIQUE(_xlfn._xlws.FILTER(suivi['#support.traite_manuel],(suivi[[#This Row],['#support.nom]]&lt;&gt;"")*(suivi['#support.nom]=suivi[[#This Row],['#support.nom]])))),"-")</f>
        <v/>
      </c>
    </row>
    <row r="39" spans="1:37" x14ac:dyDescent="0.25">
      <c r="A39" s="1">
        <v>45191</v>
      </c>
      <c r="B39">
        <f>ROW(suivi[[#This Row],['#support.id]])-ROW(suivi[[#Headers],['#support.saison_en_cours]])</f>
        <v>36</v>
      </c>
      <c r="C39" s="7" t="str">
        <f>IF(suivi[[#This Row],['#support.saison]]=saison_en_cours,1,"")</f>
        <v/>
      </c>
      <c r="D39" t="s">
        <v>7</v>
      </c>
      <c r="G39" s="10"/>
      <c r="J39" s="26"/>
      <c r="K39" s="26"/>
      <c r="L39" t="s">
        <v>178</v>
      </c>
      <c r="P39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[suivi] Présence_36</v>
      </c>
      <c r="Q39" s="7">
        <f>IF(suivi[[#This Row],['#support.nom]]="","",COUNTIF(suivi['#support.nom],suivi[[#This Row],['#support.nom]]))</f>
        <v>1</v>
      </c>
      <c r="T39" s="1"/>
      <c r="V39" s="4"/>
      <c r="AH39" t="str" cm="1">
        <f t="array" ref="AH39">_xlfn._xlws.FILTER(saisons[nom],(saisons[debut]&lt;=suivi[[#This Row],[date]])*(saisons[fin]&gt;=suivi[[#This Row],[date]]))</f>
        <v>2023-2024</v>
      </c>
      <c r="AI39">
        <f>MIN(COUNTIFS(suivi[entree.categorie],"Evènement",suivi[entree.nom],suivi[[#This Row],[entree.nom]]),1)</f>
        <v>0</v>
      </c>
      <c r="AK39" t="str" cm="1">
        <f t="array" ref="AK39">IFERROR(_xlfn.TEXTJOIN(",",TRUE,_xlfn.UNIQUE(_xlfn._xlws.FILTER(suivi['#support.traite_manuel],(suivi[[#This Row],['#support.nom]]&lt;&gt;"")*(suivi['#support.nom]=suivi[[#This Row],['#support.nom]])))),"-")</f>
        <v/>
      </c>
    </row>
    <row r="40" spans="1:37" x14ac:dyDescent="0.25">
      <c r="A40" s="1">
        <v>45198</v>
      </c>
      <c r="B40">
        <f>ROW(suivi[[#This Row],['#support.id]])-ROW(suivi[[#Headers],['#support.saison_en_cours]])</f>
        <v>37</v>
      </c>
      <c r="C40" s="7" t="str">
        <f>IF(suivi[[#This Row],['#support.saison]]=saison_en_cours,1,"")</f>
        <v/>
      </c>
      <c r="D40" t="s">
        <v>7</v>
      </c>
      <c r="G40" s="10">
        <v>1</v>
      </c>
      <c r="J40" s="24"/>
      <c r="K40" s="24"/>
      <c r="P40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Bon Jean</v>
      </c>
      <c r="Q40" s="7">
        <f>IF(suivi[[#This Row],['#support.nom]]="","",COUNTIF(suivi['#support.nom],suivi[[#This Row],['#support.nom]]))</f>
        <v>98</v>
      </c>
      <c r="T40" s="1"/>
      <c r="V40" s="4"/>
      <c r="AH40" t="str" cm="1">
        <f t="array" ref="AH40">_xlfn._xlws.FILTER(saisons[nom],(saisons[debut]&lt;=suivi[[#This Row],[date]])*(saisons[fin]&gt;=suivi[[#This Row],[date]]))</f>
        <v>2023-2024</v>
      </c>
      <c r="AI40">
        <f>MIN(COUNTIFS(suivi[entree.categorie],"Evènement",suivi[entree.nom],suivi[[#This Row],[entree.nom]]),1)</f>
        <v>0</v>
      </c>
      <c r="AK40" t="str" cm="1">
        <f t="array" ref="AK40">IFERROR(_xlfn.TEXTJOIN(",",TRUE,_xlfn.UNIQUE(_xlfn._xlws.FILTER(suivi['#support.traite_manuel],(suivi[[#This Row],['#support.nom]]&lt;&gt;"")*(suivi['#support.nom]=suivi[[#This Row],['#support.nom]])))),"-")</f>
        <v/>
      </c>
    </row>
    <row r="41" spans="1:37" x14ac:dyDescent="0.25">
      <c r="A41" s="1">
        <v>45199</v>
      </c>
      <c r="B41">
        <f>ROW(suivi[[#This Row],['#support.id]])-ROW(suivi[[#Headers],['#support.saison_en_cours]])</f>
        <v>38</v>
      </c>
      <c r="C41" s="7" t="str">
        <f>IF(suivi[[#This Row],['#support.saison]]=saison_en_cours,1,"")</f>
        <v/>
      </c>
      <c r="D41" t="s">
        <v>6</v>
      </c>
      <c r="E41" t="s">
        <v>161</v>
      </c>
      <c r="G41" s="10">
        <v>1</v>
      </c>
      <c r="I41" t="s">
        <v>80</v>
      </c>
      <c r="J41" s="24">
        <v>15</v>
      </c>
      <c r="K41" s="24"/>
      <c r="M41" t="s">
        <v>113</v>
      </c>
      <c r="P41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Bon Jean</v>
      </c>
      <c r="Q41" s="7">
        <f>IF(suivi[[#This Row],['#support.nom]]="","",COUNTIF(suivi['#support.nom],suivi[[#This Row],['#support.nom]]))</f>
        <v>98</v>
      </c>
      <c r="T41" s="1"/>
      <c r="V41" s="4"/>
      <c r="AH41" t="str" cm="1">
        <f t="array" ref="AH41">_xlfn._xlws.FILTER(saisons[nom],(saisons[debut]&lt;=suivi[[#This Row],[date]])*(saisons[fin]&gt;=suivi[[#This Row],[date]]))</f>
        <v>2023-2024</v>
      </c>
      <c r="AI41">
        <f>MIN(COUNTIFS(suivi[entree.categorie],"Evènement",suivi[entree.nom],suivi[[#This Row],[entree.nom]]),1)</f>
        <v>0</v>
      </c>
      <c r="AK41" t="str" cm="1">
        <f t="array" ref="AK41">IFERROR(_xlfn.TEXTJOIN(",",TRUE,_xlfn.UNIQUE(_xlfn._xlws.FILTER(suivi['#support.traite_manuel],(suivi[[#This Row],['#support.nom]]&lt;&gt;"")*(suivi['#support.nom]=suivi[[#This Row],['#support.nom]])))),"-")</f>
        <v/>
      </c>
    </row>
    <row r="42" spans="1:37" x14ac:dyDescent="0.25">
      <c r="A42" s="1">
        <v>45205</v>
      </c>
      <c r="B42">
        <f>ROW(suivi[[#This Row],['#support.id]])-ROW(suivi[[#Headers],['#support.saison_en_cours]])</f>
        <v>39</v>
      </c>
      <c r="C42" s="7" t="str">
        <f>IF(suivi[[#This Row],['#support.saison]]=saison_en_cours,1,"")</f>
        <v/>
      </c>
      <c r="D42" t="s">
        <v>7</v>
      </c>
      <c r="G42" s="10">
        <v>1</v>
      </c>
      <c r="J42" s="24"/>
      <c r="K42" s="24"/>
      <c r="P42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Bon Jean</v>
      </c>
      <c r="Q42" s="7">
        <f>IF(suivi[[#This Row],['#support.nom]]="","",COUNTIF(suivi['#support.nom],suivi[[#This Row],['#support.nom]]))</f>
        <v>98</v>
      </c>
      <c r="T42" s="1"/>
      <c r="V42" s="4"/>
      <c r="AH42" t="str" cm="1">
        <f t="array" ref="AH42">_xlfn._xlws.FILTER(saisons[nom],(saisons[debut]&lt;=suivi[[#This Row],[date]])*(saisons[fin]&gt;=suivi[[#This Row],[date]]))</f>
        <v>2023-2024</v>
      </c>
      <c r="AI42">
        <f>MIN(COUNTIFS(suivi[entree.categorie],"Evènement",suivi[entree.nom],suivi[[#This Row],[entree.nom]]),1)</f>
        <v>0</v>
      </c>
      <c r="AK42" t="str" cm="1">
        <f t="array" ref="AK42">IFERROR(_xlfn.TEXTJOIN(",",TRUE,_xlfn.UNIQUE(_xlfn._xlws.FILTER(suivi['#support.traite_manuel],(suivi[[#This Row],['#support.nom]]&lt;&gt;"")*(suivi['#support.nom]=suivi[[#This Row],['#support.nom]])))),"-")</f>
        <v/>
      </c>
    </row>
    <row r="43" spans="1:37" x14ac:dyDescent="0.25">
      <c r="A43" s="1">
        <v>45211</v>
      </c>
      <c r="B43">
        <f>ROW(suivi[[#This Row],['#support.id]])-ROW(suivi[[#Headers],['#support.saison_en_cours]])</f>
        <v>40</v>
      </c>
      <c r="C43" s="7" t="str">
        <f>IF(suivi[[#This Row],['#support.saison]]=saison_en_cours,1,"")</f>
        <v/>
      </c>
      <c r="D43" t="s">
        <v>0</v>
      </c>
      <c r="E43" t="s">
        <v>179</v>
      </c>
      <c r="F43" t="s">
        <v>180</v>
      </c>
      <c r="G43" s="10"/>
      <c r="I43" t="s">
        <v>40</v>
      </c>
      <c r="J43" s="26"/>
      <c r="K43" s="26">
        <v>-15</v>
      </c>
      <c r="P43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[suivi] Evènement_Forum associations 2023_Emission Chèque 7036105 - Trésor Public_40</v>
      </c>
      <c r="Q43" s="7">
        <f>IF(suivi[[#This Row],['#support.nom]]="","",COUNTIF(suivi['#support.nom],suivi[[#This Row],['#support.nom]]))</f>
        <v>1</v>
      </c>
      <c r="T43" s="1"/>
      <c r="V43" s="4"/>
      <c r="AH43" t="str" cm="1">
        <f t="array" ref="AH43">_xlfn._xlws.FILTER(saisons[nom],(saisons[debut]&lt;=suivi[[#This Row],[date]])*(saisons[fin]&gt;=suivi[[#This Row],[date]]))</f>
        <v>2023-2024</v>
      </c>
      <c r="AI43">
        <f>MIN(COUNTIFS(suivi[entree.categorie],"Evènement",suivi[entree.nom],suivi[[#This Row],[entree.nom]]),1)</f>
        <v>1</v>
      </c>
      <c r="AK43" t="str" cm="1">
        <f t="array" ref="AK43">IFERROR(_xlfn.TEXTJOIN(",",TRUE,_xlfn.UNIQUE(_xlfn._xlws.FILTER(suivi['#support.traite_manuel],(suivi[[#This Row],['#support.nom]]&lt;&gt;"")*(suivi['#support.nom]=suivi[[#This Row],['#support.nom]])))),"-")</f>
        <v/>
      </c>
    </row>
    <row r="44" spans="1:37" x14ac:dyDescent="0.25">
      <c r="A44" s="1">
        <v>45212</v>
      </c>
      <c r="B44">
        <f>ROW(suivi[[#This Row],['#support.id]])-ROW(suivi[[#Headers],['#support.saison_en_cours]])</f>
        <v>41</v>
      </c>
      <c r="C44" s="7" t="str">
        <f>IF(suivi[[#This Row],['#support.saison]]=saison_en_cours,1,"")</f>
        <v/>
      </c>
      <c r="D44" t="s">
        <v>7</v>
      </c>
      <c r="G44" s="10">
        <v>1</v>
      </c>
      <c r="J44" s="24"/>
      <c r="K44" s="24"/>
      <c r="P44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Bon Jean</v>
      </c>
      <c r="Q44" s="7">
        <f>IF(suivi[[#This Row],['#support.nom]]="","",COUNTIF(suivi['#support.nom],suivi[[#This Row],['#support.nom]]))</f>
        <v>98</v>
      </c>
      <c r="T44" s="1"/>
      <c r="V44" s="4"/>
      <c r="AH44" t="str" cm="1">
        <f t="array" ref="AH44">_xlfn._xlws.FILTER(saisons[nom],(saisons[debut]&lt;=suivi[[#This Row],[date]])*(saisons[fin]&gt;=suivi[[#This Row],[date]]))</f>
        <v>2023-2024</v>
      </c>
      <c r="AI44">
        <f>MIN(COUNTIFS(suivi[entree.categorie],"Evènement",suivi[entree.nom],suivi[[#This Row],[entree.nom]]),1)</f>
        <v>0</v>
      </c>
      <c r="AK44" t="str" cm="1">
        <f t="array" ref="AK44">IFERROR(_xlfn.TEXTJOIN(",",TRUE,_xlfn.UNIQUE(_xlfn._xlws.FILTER(suivi['#support.traite_manuel],(suivi[[#This Row],['#support.nom]]&lt;&gt;"")*(suivi['#support.nom]=suivi[[#This Row],['#support.nom]])))),"-")</f>
        <v/>
      </c>
    </row>
    <row r="45" spans="1:37" x14ac:dyDescent="0.25">
      <c r="A45" s="1">
        <v>45219</v>
      </c>
      <c r="B45">
        <f>ROW(suivi[[#This Row],['#support.id]])-ROW(suivi[[#Headers],['#support.saison_en_cours]])</f>
        <v>42</v>
      </c>
      <c r="C45" s="7" t="str">
        <f>IF(suivi[[#This Row],['#support.saison]]=saison_en_cours,1,"")</f>
        <v/>
      </c>
      <c r="D45" t="s">
        <v>7</v>
      </c>
      <c r="G45" s="10">
        <v>1</v>
      </c>
      <c r="J45" s="24"/>
      <c r="K45" s="24"/>
      <c r="P45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Bon Jean</v>
      </c>
      <c r="Q45" s="7">
        <f>IF(suivi[[#This Row],['#support.nom]]="","",COUNTIF(suivi['#support.nom],suivi[[#This Row],['#support.nom]]))</f>
        <v>98</v>
      </c>
      <c r="T45" s="1"/>
      <c r="V45" s="4"/>
      <c r="AH45" t="str" cm="1">
        <f t="array" ref="AH45">_xlfn._xlws.FILTER(saisons[nom],(saisons[debut]&lt;=suivi[[#This Row],[date]])*(saisons[fin]&gt;=suivi[[#This Row],[date]]))</f>
        <v>2023-2024</v>
      </c>
      <c r="AI45">
        <f>MIN(COUNTIFS(suivi[entree.categorie],"Evènement",suivi[entree.nom],suivi[[#This Row],[entree.nom]]),1)</f>
        <v>0</v>
      </c>
      <c r="AK45" t="str" cm="1">
        <f t="array" ref="AK45">IFERROR(_xlfn.TEXTJOIN(",",TRUE,_xlfn.UNIQUE(_xlfn._xlws.FILTER(suivi['#support.traite_manuel],(suivi[[#This Row],['#support.nom]]&lt;&gt;"")*(suivi['#support.nom]=suivi[[#This Row],['#support.nom]])))),"-")</f>
        <v/>
      </c>
    </row>
    <row r="46" spans="1:37" x14ac:dyDescent="0.25">
      <c r="A46" s="1">
        <v>45240</v>
      </c>
      <c r="B46">
        <f>ROW(suivi[[#This Row],['#support.id]])-ROW(suivi[[#Headers],['#support.saison_en_cours]])</f>
        <v>43</v>
      </c>
      <c r="C46" s="7" t="str">
        <f>IF(suivi[[#This Row],['#support.saison]]=saison_en_cours,1,"")</f>
        <v/>
      </c>
      <c r="D46" t="s">
        <v>7</v>
      </c>
      <c r="G46" s="10">
        <v>1</v>
      </c>
      <c r="J46" s="24"/>
      <c r="K46" s="24"/>
      <c r="P46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Bon Jean</v>
      </c>
      <c r="Q46" s="7">
        <f>IF(suivi[[#This Row],['#support.nom]]="","",COUNTIF(suivi['#support.nom],suivi[[#This Row],['#support.nom]]))</f>
        <v>98</v>
      </c>
      <c r="T46" s="1"/>
      <c r="V46" s="4"/>
      <c r="AH46" t="str" cm="1">
        <f t="array" ref="AH46">_xlfn._xlws.FILTER(saisons[nom],(saisons[debut]&lt;=suivi[[#This Row],[date]])*(saisons[fin]&gt;=suivi[[#This Row],[date]]))</f>
        <v>2023-2024</v>
      </c>
      <c r="AI46">
        <f>MIN(COUNTIFS(suivi[entree.categorie],"Evènement",suivi[entree.nom],suivi[[#This Row],[entree.nom]]),1)</f>
        <v>0</v>
      </c>
      <c r="AK46" t="str" cm="1">
        <f t="array" ref="AK46">IFERROR(_xlfn.TEXTJOIN(",",TRUE,_xlfn.UNIQUE(_xlfn._xlws.FILTER(suivi['#support.traite_manuel],(suivi[[#This Row],['#support.nom]]&lt;&gt;"")*(suivi['#support.nom]=suivi[[#This Row],['#support.nom]])))),"-")</f>
        <v/>
      </c>
    </row>
    <row r="47" spans="1:37" x14ac:dyDescent="0.25">
      <c r="A47" s="1">
        <v>45247</v>
      </c>
      <c r="B47">
        <f>ROW(suivi[[#This Row],['#support.id]])-ROW(suivi[[#Headers],['#support.saison_en_cours]])</f>
        <v>44</v>
      </c>
      <c r="C47" s="7" t="str">
        <f>IF(suivi[[#This Row],['#support.saison]]=saison_en_cours,1,"")</f>
        <v/>
      </c>
      <c r="D47" t="s">
        <v>7</v>
      </c>
      <c r="G47" s="10">
        <v>1</v>
      </c>
      <c r="J47" s="24"/>
      <c r="K47" s="24"/>
      <c r="P47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Bon Jean</v>
      </c>
      <c r="Q47" s="7">
        <f>IF(suivi[[#This Row],['#support.nom]]="","",COUNTIF(suivi['#support.nom],suivi[[#This Row],['#support.nom]]))</f>
        <v>98</v>
      </c>
      <c r="T47" s="1"/>
      <c r="V47" s="4"/>
      <c r="AH47" t="str" cm="1">
        <f t="array" ref="AH47">_xlfn._xlws.FILTER(saisons[nom],(saisons[debut]&lt;=suivi[[#This Row],[date]])*(saisons[fin]&gt;=suivi[[#This Row],[date]]))</f>
        <v>2023-2024</v>
      </c>
      <c r="AI47">
        <f>MIN(COUNTIFS(suivi[entree.categorie],"Evènement",suivi[entree.nom],suivi[[#This Row],[entree.nom]]),1)</f>
        <v>0</v>
      </c>
      <c r="AK47" t="str" cm="1">
        <f t="array" ref="AK47">IFERROR(_xlfn.TEXTJOIN(",",TRUE,_xlfn.UNIQUE(_xlfn._xlws.FILTER(suivi['#support.traite_manuel],(suivi[[#This Row],['#support.nom]]&lt;&gt;"")*(suivi['#support.nom]=suivi[[#This Row],['#support.nom]])))),"-")</f>
        <v/>
      </c>
    </row>
    <row r="48" spans="1:37" x14ac:dyDescent="0.25">
      <c r="A48" s="1">
        <v>45254</v>
      </c>
      <c r="B48">
        <f>ROW(suivi[[#This Row],['#support.id]])-ROW(suivi[[#Headers],['#support.saison_en_cours]])</f>
        <v>45</v>
      </c>
      <c r="C48" s="7" t="str">
        <f>IF(suivi[[#This Row],['#support.saison]]=saison_en_cours,1,"")</f>
        <v/>
      </c>
      <c r="D48" t="s">
        <v>7</v>
      </c>
      <c r="G48" s="10">
        <v>1</v>
      </c>
      <c r="J48" s="24"/>
      <c r="K48" s="24"/>
      <c r="P48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Bon Jean</v>
      </c>
      <c r="Q48" s="7">
        <f>IF(suivi[[#This Row],['#support.nom]]="","",COUNTIF(suivi['#support.nom],suivi[[#This Row],['#support.nom]]))</f>
        <v>98</v>
      </c>
      <c r="T48" s="1"/>
      <c r="V48" s="4"/>
      <c r="AH48" t="str" cm="1">
        <f t="array" ref="AH48">_xlfn._xlws.FILTER(saisons[nom],(saisons[debut]&lt;=suivi[[#This Row],[date]])*(saisons[fin]&gt;=suivi[[#This Row],[date]]))</f>
        <v>2023-2024</v>
      </c>
      <c r="AI48">
        <f>MIN(COUNTIFS(suivi[entree.categorie],"Evènement",suivi[entree.nom],suivi[[#This Row],[entree.nom]]),1)</f>
        <v>0</v>
      </c>
      <c r="AK48" t="str" cm="1">
        <f t="array" ref="AK48">IFERROR(_xlfn.TEXTJOIN(",",TRUE,_xlfn.UNIQUE(_xlfn._xlws.FILTER(suivi['#support.traite_manuel],(suivi[[#This Row],['#support.nom]]&lt;&gt;"")*(suivi['#support.nom]=suivi[[#This Row],['#support.nom]])))),"-")</f>
        <v/>
      </c>
    </row>
    <row r="49" spans="1:37" x14ac:dyDescent="0.25">
      <c r="A49" s="1">
        <v>45261</v>
      </c>
      <c r="B49">
        <f>ROW(suivi[[#This Row],['#support.id]])-ROW(suivi[[#Headers],['#support.saison_en_cours]])</f>
        <v>46</v>
      </c>
      <c r="C49" s="7" t="str">
        <f>IF(suivi[[#This Row],['#support.saison]]=saison_en_cours,1,"")</f>
        <v/>
      </c>
      <c r="D49" t="s">
        <v>7</v>
      </c>
      <c r="G49" s="10">
        <v>1</v>
      </c>
      <c r="J49" s="24"/>
      <c r="K49" s="24"/>
      <c r="P49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Bon Jean</v>
      </c>
      <c r="Q49" s="7">
        <f>IF(suivi[[#This Row],['#support.nom]]="","",COUNTIF(suivi['#support.nom],suivi[[#This Row],['#support.nom]]))</f>
        <v>98</v>
      </c>
      <c r="T49" s="1"/>
      <c r="V49" s="4"/>
      <c r="AH49" t="str" cm="1">
        <f t="array" ref="AH49">_xlfn._xlws.FILTER(saisons[nom],(saisons[debut]&lt;=suivi[[#This Row],[date]])*(saisons[fin]&gt;=suivi[[#This Row],[date]]))</f>
        <v>2023-2024</v>
      </c>
      <c r="AI49">
        <f>MIN(COUNTIFS(suivi[entree.categorie],"Evènement",suivi[entree.nom],suivi[[#This Row],[entree.nom]]),1)</f>
        <v>0</v>
      </c>
      <c r="AK49" t="str" cm="1">
        <f t="array" ref="AK49">IFERROR(_xlfn.TEXTJOIN(",",TRUE,_xlfn.UNIQUE(_xlfn._xlws.FILTER(suivi['#support.traite_manuel],(suivi[[#This Row],['#support.nom]]&lt;&gt;"")*(suivi['#support.nom]=suivi[[#This Row],['#support.nom]])))),"-")</f>
        <v/>
      </c>
    </row>
    <row r="50" spans="1:37" x14ac:dyDescent="0.25">
      <c r="A50" s="1">
        <v>45268</v>
      </c>
      <c r="B50">
        <f>ROW(suivi[[#This Row],['#support.id]])-ROW(suivi[[#Headers],['#support.saison_en_cours]])</f>
        <v>47</v>
      </c>
      <c r="C50" s="7" t="str">
        <f>IF(suivi[[#This Row],['#support.saison]]=saison_en_cours,1,"")</f>
        <v/>
      </c>
      <c r="D50" t="s">
        <v>7</v>
      </c>
      <c r="G50" s="10">
        <v>1</v>
      </c>
      <c r="J50" s="24"/>
      <c r="K50" s="24"/>
      <c r="P50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Bon Jean</v>
      </c>
      <c r="Q50" s="7">
        <f>IF(suivi[[#This Row],['#support.nom]]="","",COUNTIF(suivi['#support.nom],suivi[[#This Row],['#support.nom]]))</f>
        <v>98</v>
      </c>
      <c r="T50" s="1"/>
      <c r="V50" s="4"/>
      <c r="AH50" t="str" cm="1">
        <f t="array" ref="AH50">_xlfn._xlws.FILTER(saisons[nom],(saisons[debut]&lt;=suivi[[#This Row],[date]])*(saisons[fin]&gt;=suivi[[#This Row],[date]]))</f>
        <v>2023-2024</v>
      </c>
      <c r="AI50">
        <f>MIN(COUNTIFS(suivi[entree.categorie],"Evènement",suivi[entree.nom],suivi[[#This Row],[entree.nom]]),1)</f>
        <v>0</v>
      </c>
      <c r="AK50" t="str" cm="1">
        <f t="array" ref="AK50">IFERROR(_xlfn.TEXTJOIN(",",TRUE,_xlfn.UNIQUE(_xlfn._xlws.FILTER(suivi['#support.traite_manuel],(suivi[[#This Row],['#support.nom]]&lt;&gt;"")*(suivi['#support.nom]=suivi[[#This Row],['#support.nom]])))),"-")</f>
        <v/>
      </c>
    </row>
    <row r="51" spans="1:37" x14ac:dyDescent="0.25">
      <c r="A51" s="1">
        <v>45275</v>
      </c>
      <c r="B51">
        <f>ROW(suivi[[#This Row],['#support.id]])-ROW(suivi[[#Headers],['#support.saison_en_cours]])</f>
        <v>48</v>
      </c>
      <c r="C51" s="7" t="str">
        <f>IF(suivi[[#This Row],['#support.saison]]=saison_en_cours,1,"")</f>
        <v/>
      </c>
      <c r="D51" t="s">
        <v>7</v>
      </c>
      <c r="G51" s="10">
        <v>1</v>
      </c>
      <c r="J51" s="24"/>
      <c r="K51" s="24"/>
      <c r="P51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Bon Jean</v>
      </c>
      <c r="Q51" s="7">
        <f>IF(suivi[[#This Row],['#support.nom]]="","",COUNTIF(suivi['#support.nom],suivi[[#This Row],['#support.nom]]))</f>
        <v>98</v>
      </c>
      <c r="T51" s="1"/>
      <c r="V51" s="4"/>
      <c r="AH51" t="str" cm="1">
        <f t="array" ref="AH51">_xlfn._xlws.FILTER(saisons[nom],(saisons[debut]&lt;=suivi[[#This Row],[date]])*(saisons[fin]&gt;=suivi[[#This Row],[date]]))</f>
        <v>2023-2024</v>
      </c>
      <c r="AI51">
        <f>MIN(COUNTIFS(suivi[entree.categorie],"Evènement",suivi[entree.nom],suivi[[#This Row],[entree.nom]]),1)</f>
        <v>0</v>
      </c>
      <c r="AK51" t="str" cm="1">
        <f t="array" ref="AK51">IFERROR(_xlfn.TEXTJOIN(",",TRUE,_xlfn.UNIQUE(_xlfn._xlws.FILTER(suivi['#support.traite_manuel],(suivi[[#This Row],['#support.nom]]&lt;&gt;"")*(suivi['#support.nom]=suivi[[#This Row],['#support.nom]])))),"-")</f>
        <v/>
      </c>
    </row>
    <row r="52" spans="1:37" x14ac:dyDescent="0.25">
      <c r="A52" s="1">
        <v>45282</v>
      </c>
      <c r="B52">
        <f>ROW(suivi[[#This Row],['#support.id]])-ROW(suivi[[#Headers],['#support.saison_en_cours]])</f>
        <v>49</v>
      </c>
      <c r="C52" s="7" t="str">
        <f>IF(suivi[[#This Row],['#support.saison]]=saison_en_cours,1,"")</f>
        <v/>
      </c>
      <c r="D52" t="s">
        <v>7</v>
      </c>
      <c r="G52" s="10">
        <v>1</v>
      </c>
      <c r="J52" s="24"/>
      <c r="K52" s="24"/>
      <c r="P52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Bon Jean</v>
      </c>
      <c r="Q52" s="7">
        <f>IF(suivi[[#This Row],['#support.nom]]="","",COUNTIF(suivi['#support.nom],suivi[[#This Row],['#support.nom]]))</f>
        <v>98</v>
      </c>
      <c r="T52" s="1"/>
      <c r="V52" s="4"/>
      <c r="AH52" t="str" cm="1">
        <f t="array" ref="AH52">_xlfn._xlws.FILTER(saisons[nom],(saisons[debut]&lt;=suivi[[#This Row],[date]])*(saisons[fin]&gt;=suivi[[#This Row],[date]]))</f>
        <v>2023-2024</v>
      </c>
      <c r="AI52">
        <f>MIN(COUNTIFS(suivi[entree.categorie],"Evènement",suivi[entree.nom],suivi[[#This Row],[entree.nom]]),1)</f>
        <v>0</v>
      </c>
      <c r="AK52" t="str" cm="1">
        <f t="array" ref="AK52">IFERROR(_xlfn.TEXTJOIN(",",TRUE,_xlfn.UNIQUE(_xlfn._xlws.FILTER(suivi['#support.traite_manuel],(suivi[[#This Row],['#support.nom]]&lt;&gt;"")*(suivi['#support.nom]=suivi[[#This Row],['#support.nom]])))),"-")</f>
        <v/>
      </c>
    </row>
    <row r="53" spans="1:37" x14ac:dyDescent="0.25">
      <c r="A53" s="1">
        <v>45301</v>
      </c>
      <c r="B53">
        <f>ROW(suivi[[#This Row],['#support.id]])-ROW(suivi[[#Headers],['#support.saison_en_cours]])</f>
        <v>50</v>
      </c>
      <c r="C53" s="7" t="str">
        <f>IF(suivi[[#This Row],['#support.saison]]=saison_en_cours,1,"")</f>
        <v/>
      </c>
      <c r="D53" t="s">
        <v>0</v>
      </c>
      <c r="E53" t="s">
        <v>163</v>
      </c>
      <c r="F53" t="s">
        <v>181</v>
      </c>
      <c r="G53" s="10"/>
      <c r="I53" t="s">
        <v>80</v>
      </c>
      <c r="J53" s="26"/>
      <c r="K53" s="26">
        <v>-17.670000000000002</v>
      </c>
      <c r="P53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[suivi] Evènement_Epiphanie 2024_Boisson galettes_50</v>
      </c>
      <c r="Q53" s="7">
        <f>IF(suivi[[#This Row],['#support.nom]]="","",COUNTIF(suivi['#support.nom],suivi[[#This Row],['#support.nom]]))</f>
        <v>1</v>
      </c>
      <c r="T53" s="1"/>
      <c r="V53" s="4"/>
      <c r="AH53" t="str" cm="1">
        <f t="array" ref="AH53">_xlfn._xlws.FILTER(saisons[nom],(saisons[debut]&lt;=suivi[[#This Row],[date]])*(saisons[fin]&gt;=suivi[[#This Row],[date]]))</f>
        <v>2023-2024</v>
      </c>
      <c r="AI53">
        <f>MIN(COUNTIFS(suivi[entree.categorie],"Evènement",suivi[entree.nom],suivi[[#This Row],[entree.nom]]),1)</f>
        <v>1</v>
      </c>
      <c r="AK53" t="str" cm="1">
        <f t="array" ref="AK53">IFERROR(_xlfn.TEXTJOIN(",",TRUE,_xlfn.UNIQUE(_xlfn._xlws.FILTER(suivi['#support.traite_manuel],(suivi[[#This Row],['#support.nom]]&lt;&gt;"")*(suivi['#support.nom]=suivi[[#This Row],['#support.nom]])))),"-")</f>
        <v/>
      </c>
    </row>
    <row r="54" spans="1:37" x14ac:dyDescent="0.25">
      <c r="A54" s="1">
        <v>45302</v>
      </c>
      <c r="B54">
        <f>ROW(suivi[[#This Row],['#support.id]])-ROW(suivi[[#Headers],['#support.saison_en_cours]])</f>
        <v>51</v>
      </c>
      <c r="C54" s="7" t="str">
        <f>IF(suivi[[#This Row],['#support.saison]]=saison_en_cours,1,"")</f>
        <v/>
      </c>
      <c r="D54" t="s">
        <v>0</v>
      </c>
      <c r="E54" t="s">
        <v>163</v>
      </c>
      <c r="F54" t="s">
        <v>182</v>
      </c>
      <c r="G54" s="10"/>
      <c r="I54" t="s">
        <v>80</v>
      </c>
      <c r="J54" s="26"/>
      <c r="K54" s="26">
        <v>-16.239999999999998</v>
      </c>
      <c r="P54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[suivi] Evènement_Epiphanie 2024_Galette Marianne_51</v>
      </c>
      <c r="Q54" s="7">
        <f>IF(suivi[[#This Row],['#support.nom]]="","",COUNTIF(suivi['#support.nom],suivi[[#This Row],['#support.nom]]))</f>
        <v>1</v>
      </c>
      <c r="T54" s="1"/>
      <c r="V54" s="4"/>
      <c r="AH54" t="str" cm="1">
        <f t="array" ref="AH54">_xlfn._xlws.FILTER(saisons[nom],(saisons[debut]&lt;=suivi[[#This Row],[date]])*(saisons[fin]&gt;=suivi[[#This Row],[date]]))</f>
        <v>2023-2024</v>
      </c>
      <c r="AI54">
        <f>MIN(COUNTIFS(suivi[entree.categorie],"Evènement",suivi[entree.nom],suivi[[#This Row],[entree.nom]]),1)</f>
        <v>1</v>
      </c>
      <c r="AK54" t="str" cm="1">
        <f t="array" ref="AK54">IFERROR(_xlfn.TEXTJOIN(",",TRUE,_xlfn.UNIQUE(_xlfn._xlws.FILTER(suivi['#support.traite_manuel],(suivi[[#This Row],['#support.nom]]&lt;&gt;"")*(suivi['#support.nom]=suivi[[#This Row],['#support.nom]])))),"-")</f>
        <v/>
      </c>
    </row>
    <row r="55" spans="1:37" x14ac:dyDescent="0.25">
      <c r="A55" s="1">
        <v>45303</v>
      </c>
      <c r="B55">
        <f>ROW(suivi[[#This Row],['#support.id]])-ROW(suivi[[#Headers],['#support.saison_en_cours]])</f>
        <v>52</v>
      </c>
      <c r="C55" s="7" t="str">
        <f>IF(suivi[[#This Row],['#support.saison]]=saison_en_cours,1,"")</f>
        <v/>
      </c>
      <c r="D55" t="s">
        <v>7</v>
      </c>
      <c r="E55" t="s">
        <v>163</v>
      </c>
      <c r="G55" s="10">
        <v>1</v>
      </c>
      <c r="J55" s="24"/>
      <c r="K55" s="24"/>
      <c r="P55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Bon Jean</v>
      </c>
      <c r="Q55" s="7">
        <f>IF(suivi[[#This Row],['#support.nom]]="","",COUNTIF(suivi['#support.nom],suivi[[#This Row],['#support.nom]]))</f>
        <v>98</v>
      </c>
      <c r="T55" s="1"/>
      <c r="V55" s="4"/>
      <c r="AH55" t="str" cm="1">
        <f t="array" ref="AH55">_xlfn._xlws.FILTER(saisons[nom],(saisons[debut]&lt;=suivi[[#This Row],[date]])*(saisons[fin]&gt;=suivi[[#This Row],[date]]))</f>
        <v>2023-2024</v>
      </c>
      <c r="AI55">
        <f>MIN(COUNTIFS(suivi[entree.categorie],"Evènement",suivi[entree.nom],suivi[[#This Row],[entree.nom]]),1)</f>
        <v>1</v>
      </c>
      <c r="AK55" t="str" cm="1">
        <f t="array" ref="AK55">IFERROR(_xlfn.TEXTJOIN(",",TRUE,_xlfn.UNIQUE(_xlfn._xlws.FILTER(suivi['#support.traite_manuel],(suivi[[#This Row],['#support.nom]]&lt;&gt;"")*(suivi['#support.nom]=suivi[[#This Row],['#support.nom]])))),"-")</f>
        <v/>
      </c>
    </row>
    <row r="56" spans="1:37" x14ac:dyDescent="0.25">
      <c r="A56" s="1">
        <v>45303</v>
      </c>
      <c r="B56">
        <f>ROW(suivi[[#This Row],['#support.id]])-ROW(suivi[[#Headers],['#support.saison_en_cours]])</f>
        <v>53</v>
      </c>
      <c r="C56" s="7" t="str">
        <f>IF(suivi[[#This Row],['#support.saison]]=saison_en_cours,1,"")</f>
        <v/>
      </c>
      <c r="D56" t="s">
        <v>0</v>
      </c>
      <c r="E56" t="s">
        <v>163</v>
      </c>
      <c r="G56" s="10"/>
      <c r="J56" s="26"/>
      <c r="K56" s="26"/>
      <c r="P56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[suivi] Evènement_Epiphanie 2024_53</v>
      </c>
      <c r="Q56" s="7">
        <f>IF(suivi[[#This Row],['#support.nom]]="","",COUNTIF(suivi['#support.nom],suivi[[#This Row],['#support.nom]]))</f>
        <v>1</v>
      </c>
      <c r="T56" s="1"/>
      <c r="V56" s="4"/>
      <c r="AH56" t="str" cm="1">
        <f t="array" ref="AH56">_xlfn._xlws.FILTER(saisons[nom],(saisons[debut]&lt;=suivi[[#This Row],[date]])*(saisons[fin]&gt;=suivi[[#This Row],[date]]))</f>
        <v>2023-2024</v>
      </c>
      <c r="AI56">
        <f>MIN(COUNTIFS(suivi[entree.categorie],"Evènement",suivi[entree.nom],suivi[[#This Row],[entree.nom]]),1)</f>
        <v>1</v>
      </c>
      <c r="AK56" t="str" cm="1">
        <f t="array" ref="AK56">IFERROR(_xlfn.TEXTJOIN(",",TRUE,_xlfn.UNIQUE(_xlfn._xlws.FILTER(suivi['#support.traite_manuel],(suivi[[#This Row],['#support.nom]]&lt;&gt;"")*(suivi['#support.nom]=suivi[[#This Row],['#support.nom]])))),"-")</f>
        <v/>
      </c>
    </row>
    <row r="57" spans="1:37" x14ac:dyDescent="0.25">
      <c r="A57" s="1">
        <v>45310</v>
      </c>
      <c r="B57">
        <f>ROW(suivi[[#This Row],['#support.id]])-ROW(suivi[[#Headers],['#support.saison_en_cours]])</f>
        <v>54</v>
      </c>
      <c r="C57" s="7" t="str">
        <f>IF(suivi[[#This Row],['#support.saison]]=saison_en_cours,1,"")</f>
        <v/>
      </c>
      <c r="D57" t="s">
        <v>7</v>
      </c>
      <c r="G57" s="10">
        <v>1</v>
      </c>
      <c r="J57" s="24"/>
      <c r="K57" s="24"/>
      <c r="P57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Bon Jean</v>
      </c>
      <c r="Q57" s="7">
        <f>IF(suivi[[#This Row],['#support.nom]]="","",COUNTIF(suivi['#support.nom],suivi[[#This Row],['#support.nom]]))</f>
        <v>98</v>
      </c>
      <c r="T57" s="1"/>
      <c r="V57" s="4"/>
      <c r="AH57" t="str" cm="1">
        <f t="array" ref="AH57">_xlfn._xlws.FILTER(saisons[nom],(saisons[debut]&lt;=suivi[[#This Row],[date]])*(saisons[fin]&gt;=suivi[[#This Row],[date]]))</f>
        <v>2023-2024</v>
      </c>
      <c r="AI57">
        <f>MIN(COUNTIFS(suivi[entree.categorie],"Evènement",suivi[entree.nom],suivi[[#This Row],[entree.nom]]),1)</f>
        <v>0</v>
      </c>
      <c r="AK57" t="str" cm="1">
        <f t="array" ref="AK57">IFERROR(_xlfn.TEXTJOIN(",",TRUE,_xlfn.UNIQUE(_xlfn._xlws.FILTER(suivi['#support.traite_manuel],(suivi[[#This Row],['#support.nom]]&lt;&gt;"")*(suivi['#support.nom]=suivi[[#This Row],['#support.nom]])))),"-")</f>
        <v/>
      </c>
    </row>
    <row r="58" spans="1:37" x14ac:dyDescent="0.25">
      <c r="A58" s="1">
        <v>45317</v>
      </c>
      <c r="B58">
        <f>ROW(suivi[[#This Row],['#support.id]])-ROW(suivi[[#Headers],['#support.saison_en_cours]])</f>
        <v>55</v>
      </c>
      <c r="C58" s="7" t="str">
        <f>IF(suivi[[#This Row],['#support.saison]]=saison_en_cours,1,"")</f>
        <v/>
      </c>
      <c r="D58" t="s">
        <v>7</v>
      </c>
      <c r="G58" s="10">
        <v>1</v>
      </c>
      <c r="J58" s="24"/>
      <c r="K58" s="24"/>
      <c r="P58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Bon Jean</v>
      </c>
      <c r="Q58" s="7">
        <f>IF(suivi[[#This Row],['#support.nom]]="","",COUNTIF(suivi['#support.nom],suivi[[#This Row],['#support.nom]]))</f>
        <v>98</v>
      </c>
      <c r="T58" s="1"/>
      <c r="V58" s="4"/>
      <c r="AH58" t="str" cm="1">
        <f t="array" ref="AH58">_xlfn._xlws.FILTER(saisons[nom],(saisons[debut]&lt;=suivi[[#This Row],[date]])*(saisons[fin]&gt;=suivi[[#This Row],[date]]))</f>
        <v>2023-2024</v>
      </c>
      <c r="AI58">
        <f>MIN(COUNTIFS(suivi[entree.categorie],"Evènement",suivi[entree.nom],suivi[[#This Row],[entree.nom]]),1)</f>
        <v>0</v>
      </c>
      <c r="AK58" t="str" cm="1">
        <f t="array" ref="AK58">IFERROR(_xlfn.TEXTJOIN(",",TRUE,_xlfn.UNIQUE(_xlfn._xlws.FILTER(suivi['#support.traite_manuel],(suivi[[#This Row],['#support.nom]]&lt;&gt;"")*(suivi['#support.nom]=suivi[[#This Row],['#support.nom]])))),"-")</f>
        <v/>
      </c>
    </row>
    <row r="59" spans="1:37" x14ac:dyDescent="0.25">
      <c r="A59" s="1">
        <v>45324</v>
      </c>
      <c r="B59">
        <f>ROW(suivi[[#This Row],['#support.id]])-ROW(suivi[[#Headers],['#support.saison_en_cours]])</f>
        <v>56</v>
      </c>
      <c r="C59" s="7" t="str">
        <f>IF(suivi[[#This Row],['#support.saison]]=saison_en_cours,1,"")</f>
        <v/>
      </c>
      <c r="D59" t="s">
        <v>7</v>
      </c>
      <c r="G59" s="10">
        <v>1</v>
      </c>
      <c r="J59" s="24"/>
      <c r="K59" s="24"/>
      <c r="P59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Bon Jean</v>
      </c>
      <c r="Q59" s="7">
        <f>IF(suivi[[#This Row],['#support.nom]]="","",COUNTIF(suivi['#support.nom],suivi[[#This Row],['#support.nom]]))</f>
        <v>98</v>
      </c>
      <c r="T59" s="1"/>
      <c r="V59" s="4"/>
      <c r="AH59" t="str" cm="1">
        <f t="array" ref="AH59">_xlfn._xlws.FILTER(saisons[nom],(saisons[debut]&lt;=suivi[[#This Row],[date]])*(saisons[fin]&gt;=suivi[[#This Row],[date]]))</f>
        <v>2023-2024</v>
      </c>
      <c r="AI59">
        <f>MIN(COUNTIFS(suivi[entree.categorie],"Evènement",suivi[entree.nom],suivi[[#This Row],[entree.nom]]),1)</f>
        <v>0</v>
      </c>
      <c r="AK59" t="str" cm="1">
        <f t="array" ref="AK59">IFERROR(_xlfn.TEXTJOIN(",",TRUE,_xlfn.UNIQUE(_xlfn._xlws.FILTER(suivi['#support.traite_manuel],(suivi[[#This Row],['#support.nom]]&lt;&gt;"")*(suivi['#support.nom]=suivi[[#This Row],['#support.nom]])))),"-")</f>
        <v/>
      </c>
    </row>
    <row r="60" spans="1:37" x14ac:dyDescent="0.25">
      <c r="A60" s="1">
        <v>45331</v>
      </c>
      <c r="B60">
        <f>ROW(suivi[[#This Row],['#support.id]])-ROW(suivi[[#Headers],['#support.saison_en_cours]])</f>
        <v>57</v>
      </c>
      <c r="C60" s="7" t="str">
        <f>IF(suivi[[#This Row],['#support.saison]]=saison_en_cours,1,"")</f>
        <v/>
      </c>
      <c r="D60" t="s">
        <v>7</v>
      </c>
      <c r="G60" s="10">
        <v>1</v>
      </c>
      <c r="J60" s="24"/>
      <c r="K60" s="24"/>
      <c r="P60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Bon Jean</v>
      </c>
      <c r="Q60" s="7">
        <f>IF(suivi[[#This Row],['#support.nom]]="","",COUNTIF(suivi['#support.nom],suivi[[#This Row],['#support.nom]]))</f>
        <v>98</v>
      </c>
      <c r="T60" s="1"/>
      <c r="V60" s="4"/>
      <c r="AH60" t="str" cm="1">
        <f t="array" ref="AH60">_xlfn._xlws.FILTER(saisons[nom],(saisons[debut]&lt;=suivi[[#This Row],[date]])*(saisons[fin]&gt;=suivi[[#This Row],[date]]))</f>
        <v>2023-2024</v>
      </c>
      <c r="AI60">
        <f>MIN(COUNTIFS(suivi[entree.categorie],"Evènement",suivi[entree.nom],suivi[[#This Row],[entree.nom]]),1)</f>
        <v>0</v>
      </c>
      <c r="AK60" t="str" cm="1">
        <f t="array" ref="AK60">IFERROR(_xlfn.TEXTJOIN(",",TRUE,_xlfn.UNIQUE(_xlfn._xlws.FILTER(suivi['#support.traite_manuel],(suivi[[#This Row],['#support.nom]]&lt;&gt;"")*(suivi['#support.nom]=suivi[[#This Row],['#support.nom]])))),"-")</f>
        <v/>
      </c>
    </row>
    <row r="61" spans="1:37" x14ac:dyDescent="0.25">
      <c r="A61" s="1">
        <v>45338</v>
      </c>
      <c r="B61">
        <f>ROW(suivi[[#This Row],['#support.id]])-ROW(suivi[[#Headers],['#support.saison_en_cours]])</f>
        <v>58</v>
      </c>
      <c r="C61" s="7" t="str">
        <f>IF(suivi[[#This Row],['#support.saison]]=saison_en_cours,1,"")</f>
        <v/>
      </c>
      <c r="D61" t="s">
        <v>7</v>
      </c>
      <c r="G61" s="10">
        <v>1</v>
      </c>
      <c r="J61" s="24"/>
      <c r="K61" s="24"/>
      <c r="P61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Bon Jean</v>
      </c>
      <c r="Q61" s="7">
        <f>IF(suivi[[#This Row],['#support.nom]]="","",COUNTIF(suivi['#support.nom],suivi[[#This Row],['#support.nom]]))</f>
        <v>98</v>
      </c>
      <c r="T61" s="1"/>
      <c r="V61" s="4"/>
      <c r="AH61" t="str" cm="1">
        <f t="array" ref="AH61">_xlfn._xlws.FILTER(saisons[nom],(saisons[debut]&lt;=suivi[[#This Row],[date]])*(saisons[fin]&gt;=suivi[[#This Row],[date]]))</f>
        <v>2023-2024</v>
      </c>
      <c r="AI61">
        <f>MIN(COUNTIFS(suivi[entree.categorie],"Evènement",suivi[entree.nom],suivi[[#This Row],[entree.nom]]),1)</f>
        <v>0</v>
      </c>
      <c r="AK61" t="str" cm="1">
        <f t="array" ref="AK61">IFERROR(_xlfn.TEXTJOIN(",",TRUE,_xlfn.UNIQUE(_xlfn._xlws.FILTER(suivi['#support.traite_manuel],(suivi[[#This Row],['#support.nom]]&lt;&gt;"")*(suivi['#support.nom]=suivi[[#This Row],['#support.nom]])))),"-")</f>
        <v/>
      </c>
    </row>
    <row r="62" spans="1:37" x14ac:dyDescent="0.25">
      <c r="A62" s="1">
        <v>45345</v>
      </c>
      <c r="B62">
        <f>ROW(suivi[[#This Row],['#support.id]])-ROW(suivi[[#Headers],['#support.saison_en_cours]])</f>
        <v>59</v>
      </c>
      <c r="C62" s="7" t="str">
        <f>IF(suivi[[#This Row],['#support.saison]]=saison_en_cours,1,"")</f>
        <v/>
      </c>
      <c r="D62" t="s">
        <v>7</v>
      </c>
      <c r="G62" s="10"/>
      <c r="J62" s="26"/>
      <c r="K62" s="26"/>
      <c r="L62" t="s">
        <v>178</v>
      </c>
      <c r="P62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[suivi] Présence_59</v>
      </c>
      <c r="Q62" s="7">
        <f>IF(suivi[[#This Row],['#support.nom]]="","",COUNTIF(suivi['#support.nom],suivi[[#This Row],['#support.nom]]))</f>
        <v>1</v>
      </c>
      <c r="T62" s="1"/>
      <c r="V62" s="4"/>
      <c r="AH62" t="str" cm="1">
        <f t="array" ref="AH62">_xlfn._xlws.FILTER(saisons[nom],(saisons[debut]&lt;=suivi[[#This Row],[date]])*(saisons[fin]&gt;=suivi[[#This Row],[date]]))</f>
        <v>2023-2024</v>
      </c>
      <c r="AI62">
        <f>MIN(COUNTIFS(suivi[entree.categorie],"Evènement",suivi[entree.nom],suivi[[#This Row],[entree.nom]]),1)</f>
        <v>0</v>
      </c>
      <c r="AK62" t="str" cm="1">
        <f t="array" ref="AK62">IFERROR(_xlfn.TEXTJOIN(",",TRUE,_xlfn.UNIQUE(_xlfn._xlws.FILTER(suivi['#support.traite_manuel],(suivi[[#This Row],['#support.nom]]&lt;&gt;"")*(suivi['#support.nom]=suivi[[#This Row],['#support.nom]])))),"-")</f>
        <v/>
      </c>
    </row>
    <row r="63" spans="1:37" x14ac:dyDescent="0.25">
      <c r="A63" s="1">
        <v>45345</v>
      </c>
      <c r="B63">
        <f>ROW(suivi[[#This Row],['#support.id]])-ROW(suivi[[#Headers],['#support.saison_en_cours]])</f>
        <v>60</v>
      </c>
      <c r="C63" s="7" t="str">
        <f>IF(suivi[[#This Row],['#support.saison]]=saison_en_cours,1,"")</f>
        <v/>
      </c>
      <c r="D63" t="s">
        <v>7</v>
      </c>
      <c r="G63" s="10"/>
      <c r="J63" s="26"/>
      <c r="K63" s="26"/>
      <c r="L63" t="s">
        <v>178</v>
      </c>
      <c r="P63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[suivi] Présence_60</v>
      </c>
      <c r="Q63" s="7">
        <f>IF(suivi[[#This Row],['#support.nom]]="","",COUNTIF(suivi['#support.nom],suivi[[#This Row],['#support.nom]]))</f>
        <v>1</v>
      </c>
      <c r="T63" s="1"/>
      <c r="V63" s="4"/>
      <c r="AH63" t="str" cm="1">
        <f t="array" ref="AH63">_xlfn._xlws.FILTER(saisons[nom],(saisons[debut]&lt;=suivi[[#This Row],[date]])*(saisons[fin]&gt;=suivi[[#This Row],[date]]))</f>
        <v>2023-2024</v>
      </c>
      <c r="AI63">
        <f>MIN(COUNTIFS(suivi[entree.categorie],"Evènement",suivi[entree.nom],suivi[[#This Row],[entree.nom]]),1)</f>
        <v>0</v>
      </c>
      <c r="AK63" t="str" cm="1">
        <f t="array" ref="AK63">IFERROR(_xlfn.TEXTJOIN(",",TRUE,_xlfn.UNIQUE(_xlfn._xlws.FILTER(suivi['#support.traite_manuel],(suivi[[#This Row],['#support.nom]]&lt;&gt;"")*(suivi['#support.nom]=suivi[[#This Row],['#support.nom]])))),"-")</f>
        <v/>
      </c>
    </row>
    <row r="64" spans="1:37" x14ac:dyDescent="0.25">
      <c r="A64" s="1">
        <v>45345</v>
      </c>
      <c r="B64">
        <f>ROW(suivi[[#This Row],['#support.id]])-ROW(suivi[[#Headers],['#support.saison_en_cours]])</f>
        <v>61</v>
      </c>
      <c r="C64" s="7" t="str">
        <f>IF(suivi[[#This Row],['#support.saison]]=saison_en_cours,1,"")</f>
        <v/>
      </c>
      <c r="D64" t="s">
        <v>7</v>
      </c>
      <c r="G64" s="10"/>
      <c r="J64" s="26"/>
      <c r="K64" s="26"/>
      <c r="L64" t="s">
        <v>178</v>
      </c>
      <c r="P64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[suivi] Présence_61</v>
      </c>
      <c r="Q64" s="7">
        <f>IF(suivi[[#This Row],['#support.nom]]="","",COUNTIF(suivi['#support.nom],suivi[[#This Row],['#support.nom]]))</f>
        <v>1</v>
      </c>
      <c r="T64" s="1"/>
      <c r="V64" s="4"/>
      <c r="AH64" t="str" cm="1">
        <f t="array" ref="AH64">_xlfn._xlws.FILTER(saisons[nom],(saisons[debut]&lt;=suivi[[#This Row],[date]])*(saisons[fin]&gt;=suivi[[#This Row],[date]]))</f>
        <v>2023-2024</v>
      </c>
      <c r="AI64">
        <f>MIN(COUNTIFS(suivi[entree.categorie],"Evènement",suivi[entree.nom],suivi[[#This Row],[entree.nom]]),1)</f>
        <v>0</v>
      </c>
      <c r="AK64" t="str" cm="1">
        <f t="array" ref="AK64">IFERROR(_xlfn.TEXTJOIN(",",TRUE,_xlfn.UNIQUE(_xlfn._xlws.FILTER(suivi['#support.traite_manuel],(suivi[[#This Row],['#support.nom]]&lt;&gt;"")*(suivi['#support.nom]=suivi[[#This Row],['#support.nom]])))),"-")</f>
        <v/>
      </c>
    </row>
    <row r="65" spans="1:37" x14ac:dyDescent="0.25">
      <c r="A65" s="1">
        <v>45345</v>
      </c>
      <c r="B65">
        <f>ROW(suivi[[#This Row],['#support.id]])-ROW(suivi[[#Headers],['#support.saison_en_cours]])</f>
        <v>62</v>
      </c>
      <c r="C65" s="7" t="str">
        <f>IF(suivi[[#This Row],['#support.saison]]=saison_en_cours,1,"")</f>
        <v/>
      </c>
      <c r="D65" t="s">
        <v>7</v>
      </c>
      <c r="G65" s="10"/>
      <c r="J65" s="26"/>
      <c r="K65" s="26"/>
      <c r="L65" t="s">
        <v>178</v>
      </c>
      <c r="P65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[suivi] Présence_62</v>
      </c>
      <c r="Q65" s="7">
        <f>IF(suivi[[#This Row],['#support.nom]]="","",COUNTIF(suivi['#support.nom],suivi[[#This Row],['#support.nom]]))</f>
        <v>1</v>
      </c>
      <c r="T65" s="1"/>
      <c r="V65" s="4"/>
      <c r="AH65" t="str" cm="1">
        <f t="array" ref="AH65">_xlfn._xlws.FILTER(saisons[nom],(saisons[debut]&lt;=suivi[[#This Row],[date]])*(saisons[fin]&gt;=suivi[[#This Row],[date]]))</f>
        <v>2023-2024</v>
      </c>
      <c r="AI65">
        <f>MIN(COUNTIFS(suivi[entree.categorie],"Evènement",suivi[entree.nom],suivi[[#This Row],[entree.nom]]),1)</f>
        <v>0</v>
      </c>
      <c r="AK65" t="str" cm="1">
        <f t="array" ref="AK65">IFERROR(_xlfn.TEXTJOIN(",",TRUE,_xlfn.UNIQUE(_xlfn._xlws.FILTER(suivi['#support.traite_manuel],(suivi[[#This Row],['#support.nom]]&lt;&gt;"")*(suivi['#support.nom]=suivi[[#This Row],['#support.nom]])))),"-")</f>
        <v/>
      </c>
    </row>
    <row r="66" spans="1:37" x14ac:dyDescent="0.25">
      <c r="A66" s="1">
        <v>45345</v>
      </c>
      <c r="B66">
        <f>ROW(suivi[[#This Row],['#support.id]])-ROW(suivi[[#Headers],['#support.saison_en_cours]])</f>
        <v>63</v>
      </c>
      <c r="C66" s="7" t="str">
        <f>IF(suivi[[#This Row],['#support.saison]]=saison_en_cours,1,"")</f>
        <v/>
      </c>
      <c r="D66" t="s">
        <v>7</v>
      </c>
      <c r="G66" s="10"/>
      <c r="J66" s="26"/>
      <c r="K66" s="26"/>
      <c r="L66" t="s">
        <v>178</v>
      </c>
      <c r="P66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[suivi] Présence_63</v>
      </c>
      <c r="Q66" s="7">
        <f>IF(suivi[[#This Row],['#support.nom]]="","",COUNTIF(suivi['#support.nom],suivi[[#This Row],['#support.nom]]))</f>
        <v>1</v>
      </c>
      <c r="T66" s="1"/>
      <c r="V66" s="4"/>
      <c r="AH66" t="str" cm="1">
        <f t="array" ref="AH66">_xlfn._xlws.FILTER(saisons[nom],(saisons[debut]&lt;=suivi[[#This Row],[date]])*(saisons[fin]&gt;=suivi[[#This Row],[date]]))</f>
        <v>2023-2024</v>
      </c>
      <c r="AI66">
        <f>MIN(COUNTIFS(suivi[entree.categorie],"Evènement",suivi[entree.nom],suivi[[#This Row],[entree.nom]]),1)</f>
        <v>0</v>
      </c>
      <c r="AK66" t="str" cm="1">
        <f t="array" ref="AK66">IFERROR(_xlfn.TEXTJOIN(",",TRUE,_xlfn.UNIQUE(_xlfn._xlws.FILTER(suivi['#support.traite_manuel],(suivi[[#This Row],['#support.nom]]&lt;&gt;"")*(suivi['#support.nom]=suivi[[#This Row],['#support.nom]])))),"-")</f>
        <v/>
      </c>
    </row>
    <row r="67" spans="1:37" x14ac:dyDescent="0.25">
      <c r="A67" s="1">
        <v>45352</v>
      </c>
      <c r="B67">
        <f>ROW(suivi[[#This Row],['#support.id]])-ROW(suivi[[#Headers],['#support.saison_en_cours]])</f>
        <v>64</v>
      </c>
      <c r="C67" s="7" t="str">
        <f>IF(suivi[[#This Row],['#support.saison]]=saison_en_cours,1,"")</f>
        <v/>
      </c>
      <c r="D67" t="s">
        <v>7</v>
      </c>
      <c r="G67" s="10">
        <v>1</v>
      </c>
      <c r="J67" s="24"/>
      <c r="K67" s="24"/>
      <c r="P67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Bon Jean</v>
      </c>
      <c r="Q67" s="7">
        <f>IF(suivi[[#This Row],['#support.nom]]="","",COUNTIF(suivi['#support.nom],suivi[[#This Row],['#support.nom]]))</f>
        <v>98</v>
      </c>
      <c r="T67" s="1"/>
      <c r="V67" s="4"/>
      <c r="AH67" t="str" cm="1">
        <f t="array" ref="AH67">_xlfn._xlws.FILTER(saisons[nom],(saisons[debut]&lt;=suivi[[#This Row],[date]])*(saisons[fin]&gt;=suivi[[#This Row],[date]]))</f>
        <v>2023-2024</v>
      </c>
      <c r="AI67">
        <f>MIN(COUNTIFS(suivi[entree.categorie],"Evènement",suivi[entree.nom],suivi[[#This Row],[entree.nom]]),1)</f>
        <v>0</v>
      </c>
      <c r="AK67" t="str" cm="1">
        <f t="array" ref="AK67">IFERROR(_xlfn.TEXTJOIN(",",TRUE,_xlfn.UNIQUE(_xlfn._xlws.FILTER(suivi['#support.traite_manuel],(suivi[[#This Row],['#support.nom]]&lt;&gt;"")*(suivi['#support.nom]=suivi[[#This Row],['#support.nom]])))),"-")</f>
        <v/>
      </c>
    </row>
    <row r="68" spans="1:37" x14ac:dyDescent="0.25">
      <c r="A68" s="1">
        <v>45359</v>
      </c>
      <c r="B68">
        <f>ROW(suivi[[#This Row],['#support.id]])-ROW(suivi[[#Headers],['#support.saison_en_cours]])</f>
        <v>65</v>
      </c>
      <c r="C68" s="7" t="str">
        <f>IF(suivi[[#This Row],['#support.saison]]=saison_en_cours,1,"")</f>
        <v/>
      </c>
      <c r="D68" t="s">
        <v>7</v>
      </c>
      <c r="G68" s="10">
        <v>1</v>
      </c>
      <c r="J68" s="24"/>
      <c r="K68" s="24"/>
      <c r="P68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Bon Jean</v>
      </c>
      <c r="Q68" s="7">
        <f>IF(suivi[[#This Row],['#support.nom]]="","",COUNTIF(suivi['#support.nom],suivi[[#This Row],['#support.nom]]))</f>
        <v>98</v>
      </c>
      <c r="T68" s="1"/>
      <c r="V68" s="4"/>
      <c r="AH68" t="str" cm="1">
        <f t="array" ref="AH68">_xlfn._xlws.FILTER(saisons[nom],(saisons[debut]&lt;=suivi[[#This Row],[date]])*(saisons[fin]&gt;=suivi[[#This Row],[date]]))</f>
        <v>2023-2024</v>
      </c>
      <c r="AI68">
        <f>MIN(COUNTIFS(suivi[entree.categorie],"Evènement",suivi[entree.nom],suivi[[#This Row],[entree.nom]]),1)</f>
        <v>0</v>
      </c>
      <c r="AK68" t="str" cm="1">
        <f t="array" ref="AK68">IFERROR(_xlfn.TEXTJOIN(",",TRUE,_xlfn.UNIQUE(_xlfn._xlws.FILTER(suivi['#support.traite_manuel],(suivi[[#This Row],['#support.nom]]&lt;&gt;"")*(suivi['#support.nom]=suivi[[#This Row],['#support.nom]])))),"-")</f>
        <v/>
      </c>
    </row>
    <row r="69" spans="1:37" x14ac:dyDescent="0.25">
      <c r="A69" s="1">
        <v>45359</v>
      </c>
      <c r="B69">
        <f>ROW(suivi[[#This Row],['#support.id]])-ROW(suivi[[#Headers],['#support.saison_en_cours]])</f>
        <v>66</v>
      </c>
      <c r="C69" s="7" t="str">
        <f>IF(suivi[[#This Row],['#support.saison]]=saison_en_cours,1,"")</f>
        <v/>
      </c>
      <c r="D69" t="s">
        <v>7</v>
      </c>
      <c r="G69" s="10"/>
      <c r="J69" s="26"/>
      <c r="K69" s="26"/>
      <c r="L69" t="s">
        <v>178</v>
      </c>
      <c r="P69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[suivi] Présence_66</v>
      </c>
      <c r="Q69" s="7">
        <f>IF(suivi[[#This Row],['#support.nom]]="","",COUNTIF(suivi['#support.nom],suivi[[#This Row],['#support.nom]]))</f>
        <v>1</v>
      </c>
      <c r="T69" s="1"/>
      <c r="V69" s="4"/>
      <c r="AH69" t="str" cm="1">
        <f t="array" ref="AH69">_xlfn._xlws.FILTER(saisons[nom],(saisons[debut]&lt;=suivi[[#This Row],[date]])*(saisons[fin]&gt;=suivi[[#This Row],[date]]))</f>
        <v>2023-2024</v>
      </c>
      <c r="AI69">
        <f>MIN(COUNTIFS(suivi[entree.categorie],"Evènement",suivi[entree.nom],suivi[[#This Row],[entree.nom]]),1)</f>
        <v>0</v>
      </c>
      <c r="AK69" t="str" cm="1">
        <f t="array" ref="AK69">IFERROR(_xlfn.TEXTJOIN(",",TRUE,_xlfn.UNIQUE(_xlfn._xlws.FILTER(suivi['#support.traite_manuel],(suivi[[#This Row],['#support.nom]]&lt;&gt;"")*(suivi['#support.nom]=suivi[[#This Row],['#support.nom]])))),"-")</f>
        <v/>
      </c>
    </row>
    <row r="70" spans="1:37" x14ac:dyDescent="0.25">
      <c r="A70" s="1">
        <v>45366</v>
      </c>
      <c r="B70">
        <f>ROW(suivi[[#This Row],['#support.id]])-ROW(suivi[[#Headers],['#support.saison_en_cours]])</f>
        <v>67</v>
      </c>
      <c r="C70" s="7" t="str">
        <f>IF(suivi[[#This Row],['#support.saison]]=saison_en_cours,1,"")</f>
        <v/>
      </c>
      <c r="D70" t="s">
        <v>7</v>
      </c>
      <c r="G70" s="10">
        <v>1</v>
      </c>
      <c r="J70" s="24"/>
      <c r="K70" s="24"/>
      <c r="P70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Bon Jean</v>
      </c>
      <c r="Q70" s="7">
        <f>IF(suivi[[#This Row],['#support.nom]]="","",COUNTIF(suivi['#support.nom],suivi[[#This Row],['#support.nom]]))</f>
        <v>98</v>
      </c>
      <c r="T70" s="1"/>
      <c r="V70" s="4"/>
      <c r="AH70" t="str" cm="1">
        <f t="array" ref="AH70">_xlfn._xlws.FILTER(saisons[nom],(saisons[debut]&lt;=suivi[[#This Row],[date]])*(saisons[fin]&gt;=suivi[[#This Row],[date]]))</f>
        <v>2023-2024</v>
      </c>
      <c r="AI70">
        <f>MIN(COUNTIFS(suivi[entree.categorie],"Evènement",suivi[entree.nom],suivi[[#This Row],[entree.nom]]),1)</f>
        <v>0</v>
      </c>
      <c r="AK70" t="str" cm="1">
        <f t="array" ref="AK70">IFERROR(_xlfn.TEXTJOIN(",",TRUE,_xlfn.UNIQUE(_xlfn._xlws.FILTER(suivi['#support.traite_manuel],(suivi[[#This Row],['#support.nom]]&lt;&gt;"")*(suivi['#support.nom]=suivi[[#This Row],['#support.nom]])))),"-")</f>
        <v/>
      </c>
    </row>
    <row r="71" spans="1:37" x14ac:dyDescent="0.25">
      <c r="A71" s="1">
        <v>45373</v>
      </c>
      <c r="B71">
        <f>ROW(suivi[[#This Row],['#support.id]])-ROW(suivi[[#Headers],['#support.saison_en_cours]])</f>
        <v>68</v>
      </c>
      <c r="C71" s="7" t="str">
        <f>IF(suivi[[#This Row],['#support.saison]]=saison_en_cours,1,"")</f>
        <v/>
      </c>
      <c r="D71" t="s">
        <v>7</v>
      </c>
      <c r="G71" s="10">
        <v>1</v>
      </c>
      <c r="J71" s="24"/>
      <c r="K71" s="24"/>
      <c r="P71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Bon Jean</v>
      </c>
      <c r="Q71" s="7">
        <f>IF(suivi[[#This Row],['#support.nom]]="","",COUNTIF(suivi['#support.nom],suivi[[#This Row],['#support.nom]]))</f>
        <v>98</v>
      </c>
      <c r="T71" s="1"/>
      <c r="V71" s="4"/>
      <c r="AH71" t="str" cm="1">
        <f t="array" ref="AH71">_xlfn._xlws.FILTER(saisons[nom],(saisons[debut]&lt;=suivi[[#This Row],[date]])*(saisons[fin]&gt;=suivi[[#This Row],[date]]))</f>
        <v>2023-2024</v>
      </c>
      <c r="AI71">
        <f>MIN(COUNTIFS(suivi[entree.categorie],"Evènement",suivi[entree.nom],suivi[[#This Row],[entree.nom]]),1)</f>
        <v>0</v>
      </c>
      <c r="AK71" t="str" cm="1">
        <f t="array" ref="AK71">IFERROR(_xlfn.TEXTJOIN(",",TRUE,_xlfn.UNIQUE(_xlfn._xlws.FILTER(suivi['#support.traite_manuel],(suivi[[#This Row],['#support.nom]]&lt;&gt;"")*(suivi['#support.nom]=suivi[[#This Row],['#support.nom]])))),"-")</f>
        <v/>
      </c>
    </row>
    <row r="72" spans="1:37" x14ac:dyDescent="0.25">
      <c r="A72" s="1">
        <v>45380</v>
      </c>
      <c r="B72">
        <f>ROW(suivi[[#This Row],['#support.id]])-ROW(suivi[[#Headers],['#support.saison_en_cours]])</f>
        <v>69</v>
      </c>
      <c r="C72" s="7" t="str">
        <f>IF(suivi[[#This Row],['#support.saison]]=saison_en_cours,1,"")</f>
        <v/>
      </c>
      <c r="D72" t="s">
        <v>7</v>
      </c>
      <c r="G72" s="10">
        <v>1</v>
      </c>
      <c r="J72" s="24"/>
      <c r="K72" s="24"/>
      <c r="P72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Bon Jean</v>
      </c>
      <c r="Q72" s="7">
        <f>IF(suivi[[#This Row],['#support.nom]]="","",COUNTIF(suivi['#support.nom],suivi[[#This Row],['#support.nom]]))</f>
        <v>98</v>
      </c>
      <c r="T72" s="1"/>
      <c r="V72" s="4"/>
      <c r="AH72" t="str" cm="1">
        <f t="array" ref="AH72">_xlfn._xlws.FILTER(saisons[nom],(saisons[debut]&lt;=suivi[[#This Row],[date]])*(saisons[fin]&gt;=suivi[[#This Row],[date]]))</f>
        <v>2023-2024</v>
      </c>
      <c r="AI72">
        <f>MIN(COUNTIFS(suivi[entree.categorie],"Evènement",suivi[entree.nom],suivi[[#This Row],[entree.nom]]),1)</f>
        <v>0</v>
      </c>
      <c r="AK72" t="str" cm="1">
        <f t="array" ref="AK72">IFERROR(_xlfn.TEXTJOIN(",",TRUE,_xlfn.UNIQUE(_xlfn._xlws.FILTER(suivi['#support.traite_manuel],(suivi[[#This Row],['#support.nom]]&lt;&gt;"")*(suivi['#support.nom]=suivi[[#This Row],['#support.nom]])))),"-")</f>
        <v/>
      </c>
    </row>
    <row r="73" spans="1:37" x14ac:dyDescent="0.25">
      <c r="A73" s="1">
        <v>45380</v>
      </c>
      <c r="B73">
        <f>ROW(suivi[[#This Row],['#support.id]])-ROW(suivi[[#Headers],['#support.saison_en_cours]])</f>
        <v>70</v>
      </c>
      <c r="C73" s="7" t="str">
        <f>IF(suivi[[#This Row],['#support.saison]]=saison_en_cours,1,"")</f>
        <v/>
      </c>
      <c r="D73" t="s">
        <v>7</v>
      </c>
      <c r="G73" s="10"/>
      <c r="J73" s="26"/>
      <c r="K73" s="26"/>
      <c r="L73" t="s">
        <v>178</v>
      </c>
      <c r="P73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[suivi] Présence_70</v>
      </c>
      <c r="Q73" s="7">
        <f>IF(suivi[[#This Row],['#support.nom]]="","",COUNTIF(suivi['#support.nom],suivi[[#This Row],['#support.nom]]))</f>
        <v>1</v>
      </c>
      <c r="T73" s="1"/>
      <c r="V73" s="4"/>
      <c r="AH73" t="str" cm="1">
        <f t="array" ref="AH73">_xlfn._xlws.FILTER(saisons[nom],(saisons[debut]&lt;=suivi[[#This Row],[date]])*(saisons[fin]&gt;=suivi[[#This Row],[date]]))</f>
        <v>2023-2024</v>
      </c>
      <c r="AI73">
        <f>MIN(COUNTIFS(suivi[entree.categorie],"Evènement",suivi[entree.nom],suivi[[#This Row],[entree.nom]]),1)</f>
        <v>0</v>
      </c>
      <c r="AK73" t="str" cm="1">
        <f t="array" ref="AK73">IFERROR(_xlfn.TEXTJOIN(",",TRUE,_xlfn.UNIQUE(_xlfn._xlws.FILTER(suivi['#support.traite_manuel],(suivi[[#This Row],['#support.nom]]&lt;&gt;"")*(suivi['#support.nom]=suivi[[#This Row],['#support.nom]])))),"-")</f>
        <v/>
      </c>
    </row>
    <row r="74" spans="1:37" x14ac:dyDescent="0.25">
      <c r="A74" s="1">
        <v>45387</v>
      </c>
      <c r="B74">
        <f>ROW(suivi[[#This Row],['#support.id]])-ROW(suivi[[#Headers],['#support.saison_en_cours]])</f>
        <v>71</v>
      </c>
      <c r="C74" s="7" t="str">
        <f>IF(suivi[[#This Row],['#support.saison]]=saison_en_cours,1,"")</f>
        <v/>
      </c>
      <c r="D74" t="s">
        <v>7</v>
      </c>
      <c r="G74" s="10">
        <v>1</v>
      </c>
      <c r="J74" s="24"/>
      <c r="K74" s="24"/>
      <c r="P74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Bon Jean</v>
      </c>
      <c r="Q74" s="7">
        <f>IF(suivi[[#This Row],['#support.nom]]="","",COUNTIF(suivi['#support.nom],suivi[[#This Row],['#support.nom]]))</f>
        <v>98</v>
      </c>
      <c r="T74" s="1"/>
      <c r="V74" s="4"/>
      <c r="AH74" t="str" cm="1">
        <f t="array" ref="AH74">_xlfn._xlws.FILTER(saisons[nom],(saisons[debut]&lt;=suivi[[#This Row],[date]])*(saisons[fin]&gt;=suivi[[#This Row],[date]]))</f>
        <v>2023-2024</v>
      </c>
      <c r="AI74">
        <f>MIN(COUNTIFS(suivi[entree.categorie],"Evènement",suivi[entree.nom],suivi[[#This Row],[entree.nom]]),1)</f>
        <v>0</v>
      </c>
      <c r="AK74" t="str" cm="1">
        <f t="array" ref="AK74">IFERROR(_xlfn.TEXTJOIN(",",TRUE,_xlfn.UNIQUE(_xlfn._xlws.FILTER(suivi['#support.traite_manuel],(suivi[[#This Row],['#support.nom]]&lt;&gt;"")*(suivi['#support.nom]=suivi[[#This Row],['#support.nom]])))),"-")</f>
        <v/>
      </c>
    </row>
    <row r="75" spans="1:37" x14ac:dyDescent="0.25">
      <c r="A75" s="1">
        <v>45394</v>
      </c>
      <c r="B75">
        <f>ROW(suivi[[#This Row],['#support.id]])-ROW(suivi[[#Headers],['#support.saison_en_cours]])</f>
        <v>72</v>
      </c>
      <c r="C75" s="7" t="str">
        <f>IF(suivi[[#This Row],['#support.saison]]=saison_en_cours,1,"")</f>
        <v/>
      </c>
      <c r="D75" t="s">
        <v>7</v>
      </c>
      <c r="G75" s="10">
        <v>1</v>
      </c>
      <c r="J75" s="24"/>
      <c r="K75" s="24"/>
      <c r="P75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Bon Jean</v>
      </c>
      <c r="Q75" s="7">
        <f>IF(suivi[[#This Row],['#support.nom]]="","",COUNTIF(suivi['#support.nom],suivi[[#This Row],['#support.nom]]))</f>
        <v>98</v>
      </c>
      <c r="T75" s="1"/>
      <c r="V75" s="4"/>
      <c r="AH75" t="str" cm="1">
        <f t="array" ref="AH75">_xlfn._xlws.FILTER(saisons[nom],(saisons[debut]&lt;=suivi[[#This Row],[date]])*(saisons[fin]&gt;=suivi[[#This Row],[date]]))</f>
        <v>2023-2024</v>
      </c>
      <c r="AI75">
        <f>MIN(COUNTIFS(suivi[entree.categorie],"Evènement",suivi[entree.nom],suivi[[#This Row],[entree.nom]]),1)</f>
        <v>0</v>
      </c>
      <c r="AK75" t="str" cm="1">
        <f t="array" ref="AK75">IFERROR(_xlfn.TEXTJOIN(",",TRUE,_xlfn.UNIQUE(_xlfn._xlws.FILTER(suivi['#support.traite_manuel],(suivi[[#This Row],['#support.nom]]&lt;&gt;"")*(suivi['#support.nom]=suivi[[#This Row],['#support.nom]])))),"-")</f>
        <v/>
      </c>
    </row>
    <row r="76" spans="1:37" x14ac:dyDescent="0.25">
      <c r="A76" s="1">
        <v>45436</v>
      </c>
      <c r="B76">
        <f>ROW(suivi[[#This Row],['#support.id]])-ROW(suivi[[#Headers],['#support.saison_en_cours]])</f>
        <v>73</v>
      </c>
      <c r="C76" s="7" t="str">
        <f>IF(suivi[[#This Row],['#support.saison]]=saison_en_cours,1,"")</f>
        <v/>
      </c>
      <c r="D76" t="s">
        <v>7</v>
      </c>
      <c r="G76" s="10">
        <v>1</v>
      </c>
      <c r="J76" s="24"/>
      <c r="K76" s="24"/>
      <c r="P76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Bon Jean</v>
      </c>
      <c r="Q76" s="7">
        <f>IF(suivi[[#This Row],['#support.nom]]="","",COUNTIF(suivi['#support.nom],suivi[[#This Row],['#support.nom]]))</f>
        <v>98</v>
      </c>
      <c r="T76" s="1"/>
      <c r="V76" s="4"/>
      <c r="AH76" t="str" cm="1">
        <f t="array" ref="AH76">_xlfn._xlws.FILTER(saisons[nom],(saisons[debut]&lt;=suivi[[#This Row],[date]])*(saisons[fin]&gt;=suivi[[#This Row],[date]]))</f>
        <v>2023-2024</v>
      </c>
      <c r="AI76">
        <f>MIN(COUNTIFS(suivi[entree.categorie],"Evènement",suivi[entree.nom],suivi[[#This Row],[entree.nom]]),1)</f>
        <v>0</v>
      </c>
      <c r="AK76" t="str" cm="1">
        <f t="array" ref="AK76">IFERROR(_xlfn.TEXTJOIN(",",TRUE,_xlfn.UNIQUE(_xlfn._xlws.FILTER(suivi['#support.traite_manuel],(suivi[[#This Row],['#support.nom]]&lt;&gt;"")*(suivi['#support.nom]=suivi[[#This Row],['#support.nom]])))),"-")</f>
        <v/>
      </c>
    </row>
    <row r="77" spans="1:37" x14ac:dyDescent="0.25">
      <c r="A77" s="1">
        <v>45443</v>
      </c>
      <c r="B77">
        <f>ROW(suivi[[#This Row],['#support.id]])-ROW(suivi[[#Headers],['#support.saison_en_cours]])</f>
        <v>74</v>
      </c>
      <c r="C77" s="7" t="str">
        <f>IF(suivi[[#This Row],['#support.saison]]=saison_en_cours,1,"")</f>
        <v/>
      </c>
      <c r="D77" t="s">
        <v>7</v>
      </c>
      <c r="G77" s="10">
        <v>1</v>
      </c>
      <c r="J77" s="24"/>
      <c r="K77" s="24"/>
      <c r="P77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Bon Jean</v>
      </c>
      <c r="Q77" s="7">
        <f>IF(suivi[[#This Row],['#support.nom]]="","",COUNTIF(suivi['#support.nom],suivi[[#This Row],['#support.nom]]))</f>
        <v>98</v>
      </c>
      <c r="T77" s="1"/>
      <c r="V77" s="4"/>
      <c r="AH77" t="str" cm="1">
        <f t="array" ref="AH77">_xlfn._xlws.FILTER(saisons[nom],(saisons[debut]&lt;=suivi[[#This Row],[date]])*(saisons[fin]&gt;=suivi[[#This Row],[date]]))</f>
        <v>2023-2024</v>
      </c>
      <c r="AI77">
        <f>MIN(COUNTIFS(suivi[entree.categorie],"Evènement",suivi[entree.nom],suivi[[#This Row],[entree.nom]]),1)</f>
        <v>0</v>
      </c>
      <c r="AK77" t="str" cm="1">
        <f t="array" ref="AK77">IFERROR(_xlfn.TEXTJOIN(",",TRUE,_xlfn.UNIQUE(_xlfn._xlws.FILTER(suivi['#support.traite_manuel],(suivi[[#This Row],['#support.nom]]&lt;&gt;"")*(suivi['#support.nom]=suivi[[#This Row],['#support.nom]])))),"-")</f>
        <v/>
      </c>
    </row>
    <row r="78" spans="1:37" x14ac:dyDescent="0.25">
      <c r="A78" s="1">
        <v>45450</v>
      </c>
      <c r="B78">
        <f>ROW(suivi[[#This Row],['#support.id]])-ROW(suivi[[#Headers],['#support.saison_en_cours]])</f>
        <v>75</v>
      </c>
      <c r="C78" s="7" t="str">
        <f>IF(suivi[[#This Row],['#support.saison]]=saison_en_cours,1,"")</f>
        <v/>
      </c>
      <c r="D78" t="s">
        <v>7</v>
      </c>
      <c r="G78" s="10">
        <v>1</v>
      </c>
      <c r="J78" s="24"/>
      <c r="K78" s="24"/>
      <c r="P78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Bon Jean</v>
      </c>
      <c r="Q78" s="7">
        <f>IF(suivi[[#This Row],['#support.nom]]="","",COUNTIF(suivi['#support.nom],suivi[[#This Row],['#support.nom]]))</f>
        <v>98</v>
      </c>
      <c r="T78" s="1"/>
      <c r="V78" s="4"/>
      <c r="AH78" t="str" cm="1">
        <f t="array" ref="AH78">_xlfn._xlws.FILTER(saisons[nom],(saisons[debut]&lt;=suivi[[#This Row],[date]])*(saisons[fin]&gt;=suivi[[#This Row],[date]]))</f>
        <v>2023-2024</v>
      </c>
      <c r="AI78">
        <f>MIN(COUNTIFS(suivi[entree.categorie],"Evènement",suivi[entree.nom],suivi[[#This Row],[entree.nom]]),1)</f>
        <v>0</v>
      </c>
      <c r="AK78" t="str" cm="1">
        <f t="array" ref="AK78">IFERROR(_xlfn.TEXTJOIN(",",TRUE,_xlfn.UNIQUE(_xlfn._xlws.FILTER(suivi['#support.traite_manuel],(suivi[[#This Row],['#support.nom]]&lt;&gt;"")*(suivi['#support.nom]=suivi[[#This Row],['#support.nom]])))),"-")</f>
        <v/>
      </c>
    </row>
    <row r="79" spans="1:37" x14ac:dyDescent="0.25">
      <c r="A79" s="1">
        <v>45472</v>
      </c>
      <c r="B79">
        <f>ROW(suivi[[#This Row],['#support.id]])-ROW(suivi[[#Headers],['#support.saison_en_cours]])</f>
        <v>76</v>
      </c>
      <c r="C79" s="7" t="str">
        <f>IF(suivi[[#This Row],['#support.saison]]=saison_en_cours,1,"")</f>
        <v/>
      </c>
      <c r="D79" t="s">
        <v>0</v>
      </c>
      <c r="E79" t="s">
        <v>183</v>
      </c>
      <c r="F79" t="s">
        <v>184</v>
      </c>
      <c r="G79" s="10"/>
      <c r="I79" t="s">
        <v>40</v>
      </c>
      <c r="J79" s="26"/>
      <c r="K79" s="26">
        <v>-49.43</v>
      </c>
      <c r="P79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[suivi] Evènement_Assemblée Générale 2024_Remboursement Fabien boissons_76</v>
      </c>
      <c r="Q79" s="7">
        <f>IF(suivi[[#This Row],['#support.nom]]="","",COUNTIF(suivi['#support.nom],suivi[[#This Row],['#support.nom]]))</f>
        <v>1</v>
      </c>
      <c r="T79" s="1"/>
      <c r="V79" s="4"/>
      <c r="AH79" t="str" cm="1">
        <f t="array" ref="AH79">_xlfn._xlws.FILTER(saisons[nom],(saisons[debut]&lt;=suivi[[#This Row],[date]])*(saisons[fin]&gt;=suivi[[#This Row],[date]]))</f>
        <v>2023-2024</v>
      </c>
      <c r="AI79">
        <f>MIN(COUNTIFS(suivi[entree.categorie],"Evènement",suivi[entree.nom],suivi[[#This Row],[entree.nom]]),1)</f>
        <v>1</v>
      </c>
      <c r="AK79" t="str" cm="1">
        <f t="array" ref="AK79">IFERROR(_xlfn.TEXTJOIN(",",TRUE,_xlfn.UNIQUE(_xlfn._xlws.FILTER(suivi['#support.traite_manuel],(suivi[[#This Row],['#support.nom]]&lt;&gt;"")*(suivi['#support.nom]=suivi[[#This Row],['#support.nom]])))),"-")</f>
        <v/>
      </c>
    </row>
    <row r="80" spans="1:37" x14ac:dyDescent="0.25">
      <c r="A80" s="1">
        <v>45536</v>
      </c>
      <c r="B80">
        <f>ROW(suivi[[#This Row],['#support.id]])-ROW(suivi[[#Headers],['#support.saison_en_cours]])</f>
        <v>77</v>
      </c>
      <c r="C80" s="7" t="str">
        <f>IF(suivi[[#This Row],['#support.saison]]=saison_en_cours,1,"")</f>
        <v/>
      </c>
      <c r="D80" t="s">
        <v>81</v>
      </c>
      <c r="G80" s="10">
        <v>1</v>
      </c>
      <c r="H80" t="s">
        <v>23</v>
      </c>
      <c r="J80" s="24"/>
      <c r="K80" s="24"/>
      <c r="O80" t="s">
        <v>174</v>
      </c>
      <c r="P80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Bon Jean</v>
      </c>
      <c r="Q80" s="7">
        <f>IF(suivi[[#This Row],['#support.nom]]="","",COUNTIF(suivi['#support.nom],suivi[[#This Row],['#support.nom]]))</f>
        <v>98</v>
      </c>
      <c r="T80" s="1"/>
      <c r="V80" s="4"/>
      <c r="AH80" t="str" cm="1">
        <f t="array" ref="AH80">_xlfn._xlws.FILTER(saisons[nom],(saisons[debut]&lt;=suivi[[#This Row],[date]])*(saisons[fin]&gt;=suivi[[#This Row],[date]]))</f>
        <v>2024-2025</v>
      </c>
      <c r="AI80">
        <f>MIN(COUNTIFS(suivi[entree.categorie],"Evènement",suivi[entree.nom],suivi[[#This Row],[entree.nom]]),1)</f>
        <v>0</v>
      </c>
      <c r="AK80" t="str" cm="1">
        <f t="array" ref="AK80">IFERROR(_xlfn.TEXTJOIN(",",TRUE,_xlfn.UNIQUE(_xlfn._xlws.FILTER(suivi['#support.traite_manuel],(suivi[[#This Row],['#support.nom]]&lt;&gt;"")*(suivi['#support.nom]=suivi[[#This Row],['#support.nom]])))),"-")</f>
        <v/>
      </c>
    </row>
    <row r="81" spans="1:37" x14ac:dyDescent="0.25">
      <c r="A81" s="1">
        <v>45536</v>
      </c>
      <c r="B81">
        <f>ROW(suivi[[#This Row],['#support.id]])-ROW(suivi[[#Headers],['#support.saison_en_cours]])</f>
        <v>78</v>
      </c>
      <c r="C81" s="7" t="str">
        <f>IF(suivi[[#This Row],['#support.saison]]=saison_en_cours,1,"")</f>
        <v/>
      </c>
      <c r="D81" t="s">
        <v>0</v>
      </c>
      <c r="E81" t="s">
        <v>185</v>
      </c>
      <c r="G81" s="10"/>
      <c r="J81" s="26"/>
      <c r="K81" s="26"/>
      <c r="P81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[suivi] Evènement_Forum associations 2024_78</v>
      </c>
      <c r="Q81" s="7">
        <f>IF(suivi[[#This Row],['#support.nom]]="","",COUNTIF(suivi['#support.nom],suivi[[#This Row],['#support.nom]]))</f>
        <v>1</v>
      </c>
      <c r="T81" s="1"/>
      <c r="V81" s="4"/>
      <c r="AH81" t="str" cm="1">
        <f t="array" ref="AH81">_xlfn._xlws.FILTER(saisons[nom],(saisons[debut]&lt;=suivi[[#This Row],[date]])*(saisons[fin]&gt;=suivi[[#This Row],[date]]))</f>
        <v>2024-2025</v>
      </c>
      <c r="AI81">
        <f>MIN(COUNTIFS(suivi[entree.categorie],"Evènement",suivi[entree.nom],suivi[[#This Row],[entree.nom]]),1)</f>
        <v>1</v>
      </c>
      <c r="AK81" t="str" cm="1">
        <f t="array" ref="AK81">IFERROR(_xlfn.TEXTJOIN(",",TRUE,_xlfn.UNIQUE(_xlfn._xlws.FILTER(suivi['#support.traite_manuel],(suivi[[#This Row],['#support.nom]]&lt;&gt;"")*(suivi['#support.nom]=suivi[[#This Row],['#support.nom]])))),"-")</f>
        <v/>
      </c>
    </row>
    <row r="82" spans="1:37" x14ac:dyDescent="0.25">
      <c r="A82" s="1">
        <v>45541</v>
      </c>
      <c r="B82">
        <f>ROW(suivi[[#This Row],['#support.id]])-ROW(suivi[[#Headers],['#support.saison_en_cours]])</f>
        <v>79</v>
      </c>
      <c r="C82" s="7" t="str">
        <f>IF(suivi[[#This Row],['#support.saison]]=saison_en_cours,1,"")</f>
        <v/>
      </c>
      <c r="D82" t="s">
        <v>6</v>
      </c>
      <c r="E82" t="s">
        <v>42</v>
      </c>
      <c r="G82" s="10">
        <v>1</v>
      </c>
      <c r="I82" t="s">
        <v>5</v>
      </c>
      <c r="J82" s="24">
        <v>15</v>
      </c>
      <c r="K82" s="24"/>
      <c r="M82" t="s">
        <v>113</v>
      </c>
      <c r="N82" t="s">
        <v>175</v>
      </c>
      <c r="P82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Bon Jean</v>
      </c>
      <c r="Q82" s="7">
        <f>IF(suivi[[#This Row],['#support.nom]]="","",COUNTIF(suivi['#support.nom],suivi[[#This Row],['#support.nom]]))</f>
        <v>98</v>
      </c>
      <c r="T82" s="1"/>
      <c r="V82" s="4"/>
      <c r="AH82" t="str" cm="1">
        <f t="array" ref="AH82">_xlfn._xlws.FILTER(saisons[nom],(saisons[debut]&lt;=suivi[[#This Row],[date]])*(saisons[fin]&gt;=suivi[[#This Row],[date]]))</f>
        <v>2024-2025</v>
      </c>
      <c r="AI82">
        <f>MIN(COUNTIFS(suivi[entree.categorie],"Evènement",suivi[entree.nom],suivi[[#This Row],[entree.nom]]),1)</f>
        <v>0</v>
      </c>
      <c r="AK82" t="str" cm="1">
        <f t="array" ref="AK82">IFERROR(_xlfn.TEXTJOIN(",",TRUE,_xlfn.UNIQUE(_xlfn._xlws.FILTER(suivi['#support.traite_manuel],(suivi[[#This Row],['#support.nom]]&lt;&gt;"")*(suivi['#support.nom]=suivi[[#This Row],['#support.nom]])))),"-")</f>
        <v/>
      </c>
    </row>
    <row r="83" spans="1:37" x14ac:dyDescent="0.25">
      <c r="A83" s="1">
        <v>45541</v>
      </c>
      <c r="B83">
        <f>ROW(suivi[[#This Row],['#support.id]])-ROW(suivi[[#Headers],['#support.saison_en_cours]])</f>
        <v>80</v>
      </c>
      <c r="C83" s="7" t="str">
        <f>IF(suivi[[#This Row],['#support.saison]]=saison_en_cours,1,"")</f>
        <v/>
      </c>
      <c r="D83" t="s">
        <v>7</v>
      </c>
      <c r="G83" s="10">
        <v>1</v>
      </c>
      <c r="J83" s="24"/>
      <c r="K83" s="24"/>
      <c r="P83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Bon Jean</v>
      </c>
      <c r="Q83" s="7">
        <f>IF(suivi[[#This Row],['#support.nom]]="","",COUNTIF(suivi['#support.nom],suivi[[#This Row],['#support.nom]]))</f>
        <v>98</v>
      </c>
      <c r="T83" s="1"/>
      <c r="V83" s="4"/>
      <c r="AH83" t="str" cm="1">
        <f t="array" ref="AH83">_xlfn._xlws.FILTER(saisons[nom],(saisons[debut]&lt;=suivi[[#This Row],[date]])*(saisons[fin]&gt;=suivi[[#This Row],[date]]))</f>
        <v>2024-2025</v>
      </c>
      <c r="AI83">
        <f>MIN(COUNTIFS(suivi[entree.categorie],"Evènement",suivi[entree.nom],suivi[[#This Row],[entree.nom]]),1)</f>
        <v>0</v>
      </c>
      <c r="AK83" t="str" cm="1">
        <f t="array" ref="AK83">IFERROR(_xlfn.TEXTJOIN(",",TRUE,_xlfn.UNIQUE(_xlfn._xlws.FILTER(suivi['#support.traite_manuel],(suivi[[#This Row],['#support.nom]]&lt;&gt;"")*(suivi['#support.nom]=suivi[[#This Row],['#support.nom]])))),"-")</f>
        <v/>
      </c>
    </row>
    <row r="84" spans="1:37" x14ac:dyDescent="0.25">
      <c r="A84" s="1">
        <v>45548</v>
      </c>
      <c r="B84">
        <f>ROW(suivi[[#This Row],['#support.id]])-ROW(suivi[[#Headers],['#support.saison_en_cours]])</f>
        <v>81</v>
      </c>
      <c r="C84" s="7" t="str">
        <f>IF(suivi[[#This Row],['#support.saison]]=saison_en_cours,1,"")</f>
        <v/>
      </c>
      <c r="D84" t="s">
        <v>7</v>
      </c>
      <c r="G84" s="10">
        <v>1</v>
      </c>
      <c r="J84" s="23"/>
      <c r="K84" s="23"/>
      <c r="P84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Bon Jean</v>
      </c>
      <c r="Q84" s="7">
        <f>IF(suivi[[#This Row],['#support.nom]]="","",COUNTIF(suivi['#support.nom],suivi[[#This Row],['#support.nom]]))</f>
        <v>98</v>
      </c>
      <c r="T84" s="1"/>
      <c r="V84" s="4"/>
      <c r="AH84" t="str" cm="1">
        <f t="array" ref="AH84">_xlfn._xlws.FILTER(saisons[nom],(saisons[debut]&lt;=suivi[[#This Row],[date]])*(saisons[fin]&gt;=suivi[[#This Row],[date]]))</f>
        <v>2024-2025</v>
      </c>
      <c r="AI84">
        <f>MIN(COUNTIFS(suivi[entree.categorie],"Evènement",suivi[entree.nom],suivi[[#This Row],[entree.nom]]),1)</f>
        <v>0</v>
      </c>
      <c r="AK84" t="str" cm="1">
        <f t="array" ref="AK84">IFERROR(_xlfn.TEXTJOIN(",",TRUE,_xlfn.UNIQUE(_xlfn._xlws.FILTER(suivi['#support.traite_manuel],(suivi[[#This Row],['#support.nom]]&lt;&gt;"")*(suivi['#support.nom]=suivi[[#This Row],['#support.nom]])))),"-")</f>
        <v/>
      </c>
    </row>
    <row r="85" spans="1:37" x14ac:dyDescent="0.25">
      <c r="A85" s="1">
        <v>45555</v>
      </c>
      <c r="B85">
        <f>ROW(suivi[[#This Row],['#support.id]])-ROW(suivi[[#Headers],['#support.saison_en_cours]])</f>
        <v>82</v>
      </c>
      <c r="C85" s="7" t="str">
        <f>IF(suivi[[#This Row],['#support.saison]]=saison_en_cours,1,"")</f>
        <v/>
      </c>
      <c r="D85" t="s">
        <v>7</v>
      </c>
      <c r="G85" s="10">
        <v>1</v>
      </c>
      <c r="J85" s="23"/>
      <c r="K85" s="23"/>
      <c r="P85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Bon Jean</v>
      </c>
      <c r="Q85" s="7">
        <f>IF(suivi[[#This Row],['#support.nom]]="","",COUNTIF(suivi['#support.nom],suivi[[#This Row],['#support.nom]]))</f>
        <v>98</v>
      </c>
      <c r="T85" s="1"/>
      <c r="V85" s="4"/>
      <c r="AH85" t="str" cm="1">
        <f t="array" ref="AH85">_xlfn._xlws.FILTER(saisons[nom],(saisons[debut]&lt;=suivi[[#This Row],[date]])*(saisons[fin]&gt;=suivi[[#This Row],[date]]))</f>
        <v>2024-2025</v>
      </c>
      <c r="AI85">
        <f>MIN(COUNTIFS(suivi[entree.categorie],"Evènement",suivi[entree.nom],suivi[[#This Row],[entree.nom]]),1)</f>
        <v>0</v>
      </c>
      <c r="AK85" t="str" cm="1">
        <f t="array" ref="AK85">IFERROR(_xlfn.TEXTJOIN(",",TRUE,_xlfn.UNIQUE(_xlfn._xlws.FILTER(suivi['#support.traite_manuel],(suivi[[#This Row],['#support.nom]]&lt;&gt;"")*(suivi['#support.nom]=suivi[[#This Row],['#support.nom]])))),"-")</f>
        <v/>
      </c>
    </row>
    <row r="86" spans="1:37" x14ac:dyDescent="0.25">
      <c r="A86" s="1">
        <v>45555</v>
      </c>
      <c r="B86">
        <f>ROW(suivi[[#This Row],['#support.id]])-ROW(suivi[[#Headers],['#support.saison_en_cours]])</f>
        <v>83</v>
      </c>
      <c r="C86" s="7" t="str">
        <f>IF(suivi[[#This Row],['#support.saison]]=saison_en_cours,1,"")</f>
        <v/>
      </c>
      <c r="D86" t="s">
        <v>7</v>
      </c>
      <c r="G86" s="10">
        <v>2</v>
      </c>
      <c r="J86" s="23"/>
      <c r="K86" s="23"/>
      <c r="P86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Dupont Marie</v>
      </c>
      <c r="Q86" s="7">
        <f>IF(suivi[[#This Row],['#support.nom]]="","",COUNTIF(suivi['#support.nom],suivi[[#This Row],['#support.nom]]))</f>
        <v>30</v>
      </c>
      <c r="T86" s="1"/>
      <c r="V86" s="4"/>
      <c r="AH86" t="str" cm="1">
        <f t="array" ref="AH86">_xlfn._xlws.FILTER(saisons[nom],(saisons[debut]&lt;=suivi[[#This Row],[date]])*(saisons[fin]&gt;=suivi[[#This Row],[date]]))</f>
        <v>2024-2025</v>
      </c>
      <c r="AI86">
        <f>MIN(COUNTIFS(suivi[entree.categorie],"Evènement",suivi[entree.nom],suivi[[#This Row],[entree.nom]]),1)</f>
        <v>0</v>
      </c>
      <c r="AK86" t="str" cm="1">
        <f t="array" ref="AK86">IFERROR(_xlfn.TEXTJOIN(",",TRUE,_xlfn.UNIQUE(_xlfn._xlws.FILTER(suivi['#support.traite_manuel],(suivi[[#This Row],['#support.nom]]&lt;&gt;"")*(suivi['#support.nom]=suivi[[#This Row],['#support.nom]])))),"-")</f>
        <v/>
      </c>
    </row>
    <row r="87" spans="1:37" x14ac:dyDescent="0.25">
      <c r="A87" s="1">
        <v>45562</v>
      </c>
      <c r="B87">
        <f>ROW(suivi[[#This Row],['#support.id]])-ROW(suivi[[#Headers],['#support.saison_en_cours]])</f>
        <v>84</v>
      </c>
      <c r="C87" s="7" t="str">
        <f>IF(suivi[[#This Row],['#support.saison]]=saison_en_cours,1,"")</f>
        <v/>
      </c>
      <c r="D87" t="s">
        <v>7</v>
      </c>
      <c r="G87" s="10">
        <v>1</v>
      </c>
      <c r="J87" s="23"/>
      <c r="K87" s="23"/>
      <c r="P87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Bon Jean</v>
      </c>
      <c r="Q87" s="7">
        <f>IF(suivi[[#This Row],['#support.nom]]="","",COUNTIF(suivi['#support.nom],suivi[[#This Row],['#support.nom]]))</f>
        <v>98</v>
      </c>
      <c r="T87" s="1"/>
      <c r="V87" s="4"/>
      <c r="AH87" t="str" cm="1">
        <f t="array" ref="AH87">_xlfn._xlws.FILTER(saisons[nom],(saisons[debut]&lt;=suivi[[#This Row],[date]])*(saisons[fin]&gt;=suivi[[#This Row],[date]]))</f>
        <v>2024-2025</v>
      </c>
      <c r="AI87">
        <f>MIN(COUNTIFS(suivi[entree.categorie],"Evènement",suivi[entree.nom],suivi[[#This Row],[entree.nom]]),1)</f>
        <v>0</v>
      </c>
      <c r="AK87" t="str" cm="1">
        <f t="array" ref="AK87">IFERROR(_xlfn.TEXTJOIN(",",TRUE,_xlfn.UNIQUE(_xlfn._xlws.FILTER(suivi['#support.traite_manuel],(suivi[[#This Row],['#support.nom]]&lt;&gt;"")*(suivi['#support.nom]=suivi[[#This Row],['#support.nom]])))),"-")</f>
        <v/>
      </c>
    </row>
    <row r="88" spans="1:37" x14ac:dyDescent="0.25">
      <c r="A88" s="1">
        <v>45569</v>
      </c>
      <c r="B88">
        <f>ROW(suivi[[#This Row],['#support.id]])-ROW(suivi[[#Headers],['#support.saison_en_cours]])</f>
        <v>85</v>
      </c>
      <c r="C88" s="7" t="str">
        <f>IF(suivi[[#This Row],['#support.saison]]=saison_en_cours,1,"")</f>
        <v/>
      </c>
      <c r="D88" t="s">
        <v>7</v>
      </c>
      <c r="G88" s="10">
        <v>1</v>
      </c>
      <c r="J88" s="23"/>
      <c r="K88" s="23"/>
      <c r="P88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Bon Jean</v>
      </c>
      <c r="Q88" s="7">
        <f>IF(suivi[[#This Row],['#support.nom]]="","",COUNTIF(suivi['#support.nom],suivi[[#This Row],['#support.nom]]))</f>
        <v>98</v>
      </c>
      <c r="T88" s="1"/>
      <c r="V88" s="4"/>
      <c r="AH88" t="str" cm="1">
        <f t="array" ref="AH88">_xlfn._xlws.FILTER(saisons[nom],(saisons[debut]&lt;=suivi[[#This Row],[date]])*(saisons[fin]&gt;=suivi[[#This Row],[date]]))</f>
        <v>2024-2025</v>
      </c>
      <c r="AI88">
        <f>MIN(COUNTIFS(suivi[entree.categorie],"Evènement",suivi[entree.nom],suivi[[#This Row],[entree.nom]]),1)</f>
        <v>0</v>
      </c>
      <c r="AK88" t="str" cm="1">
        <f t="array" ref="AK88">IFERROR(_xlfn.TEXTJOIN(",",TRUE,_xlfn.UNIQUE(_xlfn._xlws.FILTER(suivi['#support.traite_manuel],(suivi[[#This Row],['#support.nom]]&lt;&gt;"")*(suivi['#support.nom]=suivi[[#This Row],['#support.nom]])))),"-")</f>
        <v/>
      </c>
    </row>
    <row r="89" spans="1:37" x14ac:dyDescent="0.25">
      <c r="A89" s="1">
        <v>45569</v>
      </c>
      <c r="B89">
        <f>ROW(suivi[[#This Row],['#support.id]])-ROW(suivi[[#Headers],['#support.saison_en_cours]])</f>
        <v>86</v>
      </c>
      <c r="C89" s="7" t="str">
        <f>IF(suivi[[#This Row],['#support.saison]]=saison_en_cours,1,"")</f>
        <v/>
      </c>
      <c r="D89" t="s">
        <v>7</v>
      </c>
      <c r="G89" s="10">
        <v>2</v>
      </c>
      <c r="J89" s="23"/>
      <c r="K89" s="23"/>
      <c r="P89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Dupont Marie</v>
      </c>
      <c r="Q89" s="7">
        <f>IF(suivi[[#This Row],['#support.nom]]="","",COUNTIF(suivi['#support.nom],suivi[[#This Row],['#support.nom]]))</f>
        <v>30</v>
      </c>
      <c r="T89" s="1"/>
      <c r="V89" s="4"/>
      <c r="AH89" t="str" cm="1">
        <f t="array" ref="AH89">_xlfn._xlws.FILTER(saisons[nom],(saisons[debut]&lt;=suivi[[#This Row],[date]])*(saisons[fin]&gt;=suivi[[#This Row],[date]]))</f>
        <v>2024-2025</v>
      </c>
      <c r="AI89">
        <f>MIN(COUNTIFS(suivi[entree.categorie],"Evènement",suivi[entree.nom],suivi[[#This Row],[entree.nom]]),1)</f>
        <v>0</v>
      </c>
      <c r="AK89" t="str" cm="1">
        <f t="array" ref="AK89">IFERROR(_xlfn.TEXTJOIN(",",TRUE,_xlfn.UNIQUE(_xlfn._xlws.FILTER(suivi['#support.traite_manuel],(suivi[[#This Row],['#support.nom]]&lt;&gt;"")*(suivi['#support.nom]=suivi[[#This Row],['#support.nom]])))),"-")</f>
        <v/>
      </c>
    </row>
    <row r="90" spans="1:37" x14ac:dyDescent="0.25">
      <c r="A90" s="1">
        <v>45574</v>
      </c>
      <c r="B90">
        <f>ROW(suivi[[#This Row],['#support.id]])-ROW(suivi[[#Headers],['#support.saison_en_cours]])</f>
        <v>87</v>
      </c>
      <c r="C90" s="7" t="str">
        <f>IF(suivi[[#This Row],['#support.saison]]=saison_en_cours,1,"")</f>
        <v/>
      </c>
      <c r="D90" t="s">
        <v>0</v>
      </c>
      <c r="E90" t="s">
        <v>185</v>
      </c>
      <c r="F90" t="s">
        <v>186</v>
      </c>
      <c r="G90" s="10"/>
      <c r="I90" t="s">
        <v>40</v>
      </c>
      <c r="J90" s="26"/>
      <c r="K90" s="26">
        <v>-15</v>
      </c>
      <c r="N90" t="s">
        <v>187</v>
      </c>
      <c r="P90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[suivi] Evènement_Forum associations 2024_Emission Chèque 7036107 - Trésor Public - 03/09/2024_87</v>
      </c>
      <c r="Q90" s="7">
        <f>IF(suivi[[#This Row],['#support.nom]]="","",COUNTIF(suivi['#support.nom],suivi[[#This Row],['#support.nom]]))</f>
        <v>1</v>
      </c>
      <c r="T90" s="1"/>
      <c r="V90" s="4"/>
      <c r="AH90" t="str" cm="1">
        <f t="array" ref="AH90">_xlfn._xlws.FILTER(saisons[nom],(saisons[debut]&lt;=suivi[[#This Row],[date]])*(saisons[fin]&gt;=suivi[[#This Row],[date]]))</f>
        <v>2024-2025</v>
      </c>
      <c r="AI90">
        <f>MIN(COUNTIFS(suivi[entree.categorie],"Evènement",suivi[entree.nom],suivi[[#This Row],[entree.nom]]),1)</f>
        <v>1</v>
      </c>
      <c r="AK90" t="str" cm="1">
        <f t="array" ref="AK90">IFERROR(_xlfn.TEXTJOIN(",",TRUE,_xlfn.UNIQUE(_xlfn._xlws.FILTER(suivi['#support.traite_manuel],(suivi[[#This Row],['#support.nom]]&lt;&gt;"")*(suivi['#support.nom]=suivi[[#This Row],['#support.nom]])))),"-")</f>
        <v/>
      </c>
    </row>
    <row r="91" spans="1:37" x14ac:dyDescent="0.25">
      <c r="A91" s="1">
        <v>45576</v>
      </c>
      <c r="B91">
        <f>ROW(suivi[[#This Row],['#support.id]])-ROW(suivi[[#Headers],['#support.saison_en_cours]])</f>
        <v>88</v>
      </c>
      <c r="C91" s="7" t="str">
        <f>IF(suivi[[#This Row],['#support.saison]]=saison_en_cours,1,"")</f>
        <v/>
      </c>
      <c r="D91" t="s">
        <v>7</v>
      </c>
      <c r="G91" s="10">
        <v>1</v>
      </c>
      <c r="J91" s="23"/>
      <c r="K91" s="23"/>
      <c r="P91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Bon Jean</v>
      </c>
      <c r="Q91" s="7">
        <f>IF(suivi[[#This Row],['#support.nom]]="","",COUNTIF(suivi['#support.nom],suivi[[#This Row],['#support.nom]]))</f>
        <v>98</v>
      </c>
      <c r="T91" s="1"/>
      <c r="V91" s="4"/>
      <c r="AH91" t="str" cm="1">
        <f t="array" ref="AH91">_xlfn._xlws.FILTER(saisons[nom],(saisons[debut]&lt;=suivi[[#This Row],[date]])*(saisons[fin]&gt;=suivi[[#This Row],[date]]))</f>
        <v>2024-2025</v>
      </c>
      <c r="AI91">
        <f>MIN(COUNTIFS(suivi[entree.categorie],"Evènement",suivi[entree.nom],suivi[[#This Row],[entree.nom]]),1)</f>
        <v>0</v>
      </c>
      <c r="AK91" t="str" cm="1">
        <f t="array" ref="AK91">IFERROR(_xlfn.TEXTJOIN(",",TRUE,_xlfn.UNIQUE(_xlfn._xlws.FILTER(suivi['#support.traite_manuel],(suivi[[#This Row],['#support.nom]]&lt;&gt;"")*(suivi['#support.nom]=suivi[[#This Row],['#support.nom]])))),"-")</f>
        <v/>
      </c>
    </row>
    <row r="92" spans="1:37" x14ac:dyDescent="0.25">
      <c r="A92" s="1">
        <v>45583</v>
      </c>
      <c r="B92">
        <f>ROW(suivi[[#This Row],['#support.id]])-ROW(suivi[[#Headers],['#support.saison_en_cours]])</f>
        <v>89</v>
      </c>
      <c r="C92" s="7" t="str">
        <f>IF(suivi[[#This Row],['#support.saison]]=saison_en_cours,1,"")</f>
        <v/>
      </c>
      <c r="D92" t="s">
        <v>7</v>
      </c>
      <c r="G92" s="10">
        <v>1</v>
      </c>
      <c r="J92" s="23"/>
      <c r="K92" s="23"/>
      <c r="P92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Bon Jean</v>
      </c>
      <c r="Q92" s="7">
        <f>IF(suivi[[#This Row],['#support.nom]]="","",COUNTIF(suivi['#support.nom],suivi[[#This Row],['#support.nom]]))</f>
        <v>98</v>
      </c>
      <c r="T92" s="1"/>
      <c r="V92" s="4"/>
      <c r="AH92" t="str" cm="1">
        <f t="array" ref="AH92">_xlfn._xlws.FILTER(saisons[nom],(saisons[debut]&lt;=suivi[[#This Row],[date]])*(saisons[fin]&gt;=suivi[[#This Row],[date]]))</f>
        <v>2024-2025</v>
      </c>
      <c r="AI92">
        <f>MIN(COUNTIFS(suivi[entree.categorie],"Evènement",suivi[entree.nom],suivi[[#This Row],[entree.nom]]),1)</f>
        <v>0</v>
      </c>
      <c r="AK92" t="str" cm="1">
        <f t="array" ref="AK92">IFERROR(_xlfn.TEXTJOIN(",",TRUE,_xlfn.UNIQUE(_xlfn._xlws.FILTER(suivi['#support.traite_manuel],(suivi[[#This Row],['#support.nom]]&lt;&gt;"")*(suivi['#support.nom]=suivi[[#This Row],['#support.nom]])))),"-")</f>
        <v/>
      </c>
    </row>
    <row r="93" spans="1:37" x14ac:dyDescent="0.25">
      <c r="A93" s="1">
        <v>45597</v>
      </c>
      <c r="B93">
        <f>ROW(suivi[[#This Row],['#support.id]])-ROW(suivi[[#Headers],['#support.saison_en_cours]])</f>
        <v>90</v>
      </c>
      <c r="C93" s="7" t="str">
        <f>IF(suivi[[#This Row],['#support.saison]]=saison_en_cours,1,"")</f>
        <v/>
      </c>
      <c r="D93" t="s">
        <v>7</v>
      </c>
      <c r="G93" s="10">
        <v>1</v>
      </c>
      <c r="J93" s="23"/>
      <c r="K93" s="23"/>
      <c r="P93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Bon Jean</v>
      </c>
      <c r="Q93" s="7">
        <f>IF(suivi[[#This Row],['#support.nom]]="","",COUNTIF(suivi['#support.nom],suivi[[#This Row],['#support.nom]]))</f>
        <v>98</v>
      </c>
      <c r="T93" s="1"/>
      <c r="V93" s="4"/>
      <c r="AH93" t="str" cm="1">
        <f t="array" ref="AH93">_xlfn._xlws.FILTER(saisons[nom],(saisons[debut]&lt;=suivi[[#This Row],[date]])*(saisons[fin]&gt;=suivi[[#This Row],[date]]))</f>
        <v>2024-2025</v>
      </c>
      <c r="AI93">
        <f>MIN(COUNTIFS(suivi[entree.categorie],"Evènement",suivi[entree.nom],suivi[[#This Row],[entree.nom]]),1)</f>
        <v>0</v>
      </c>
      <c r="AK93" t="str" cm="1">
        <f t="array" ref="AK93">IFERROR(_xlfn.TEXTJOIN(",",TRUE,_xlfn.UNIQUE(_xlfn._xlws.FILTER(suivi['#support.traite_manuel],(suivi[[#This Row],['#support.nom]]&lt;&gt;"")*(suivi['#support.nom]=suivi[[#This Row],['#support.nom]])))),"-")</f>
        <v/>
      </c>
    </row>
    <row r="94" spans="1:37" x14ac:dyDescent="0.25">
      <c r="A94" s="1">
        <v>45597</v>
      </c>
      <c r="B94">
        <f>ROW(suivi[[#This Row],['#support.id]])-ROW(suivi[[#Headers],['#support.saison_en_cours]])</f>
        <v>91</v>
      </c>
      <c r="C94" s="7" t="str">
        <f>IF(suivi[[#This Row],['#support.saison]]=saison_en_cours,1,"")</f>
        <v/>
      </c>
      <c r="D94" t="s">
        <v>6</v>
      </c>
      <c r="E94" t="s">
        <v>42</v>
      </c>
      <c r="G94" s="10">
        <v>2</v>
      </c>
      <c r="I94" t="s">
        <v>5</v>
      </c>
      <c r="J94" s="23">
        <v>15</v>
      </c>
      <c r="K94" s="23"/>
      <c r="M94" t="s">
        <v>113</v>
      </c>
      <c r="N94" t="s">
        <v>171</v>
      </c>
      <c r="P94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Dupont Marie</v>
      </c>
      <c r="Q94" s="7">
        <f>IF(suivi[[#This Row],['#support.nom]]="","",COUNTIF(suivi['#support.nom],suivi[[#This Row],['#support.nom]]))</f>
        <v>30</v>
      </c>
      <c r="R94" t="s">
        <v>177</v>
      </c>
      <c r="S94" t="s">
        <v>13</v>
      </c>
      <c r="T94" s="1">
        <v>29435</v>
      </c>
      <c r="V94" s="4">
        <v>601020304</v>
      </c>
      <c r="AC94" t="s">
        <v>125</v>
      </c>
      <c r="AG94" t="s">
        <v>14</v>
      </c>
      <c r="AH94" t="str" cm="1">
        <f t="array" ref="AH94">_xlfn._xlws.FILTER(saisons[nom],(saisons[debut]&lt;=suivi[[#This Row],[date]])*(saisons[fin]&gt;=suivi[[#This Row],[date]]))</f>
        <v>2024-2025</v>
      </c>
      <c r="AI94">
        <f>MIN(COUNTIFS(suivi[entree.categorie],"Evènement",suivi[entree.nom],suivi[[#This Row],[entree.nom]]),1)</f>
        <v>0</v>
      </c>
      <c r="AK94" t="str" cm="1">
        <f t="array" ref="AK94">IFERROR(_xlfn.TEXTJOIN(",",TRUE,_xlfn.UNIQUE(_xlfn._xlws.FILTER(suivi['#support.traite_manuel],(suivi[[#This Row],['#support.nom]]&lt;&gt;"")*(suivi['#support.nom]=suivi[[#This Row],['#support.nom]])))),"-")</f>
        <v/>
      </c>
    </row>
    <row r="95" spans="1:37" x14ac:dyDescent="0.25">
      <c r="A95" s="1">
        <v>45597</v>
      </c>
      <c r="B95">
        <f>ROW(suivi[[#This Row],['#support.id]])-ROW(suivi[[#Headers],['#support.saison_en_cours]])</f>
        <v>92</v>
      </c>
      <c r="C95" s="7" t="str">
        <f>IF(suivi[[#This Row],['#support.saison]]=saison_en_cours,1,"")</f>
        <v/>
      </c>
      <c r="D95" t="s">
        <v>7</v>
      </c>
      <c r="G95" s="10">
        <v>2</v>
      </c>
      <c r="J95" s="23"/>
      <c r="K95" s="23"/>
      <c r="P95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Dupont Marie</v>
      </c>
      <c r="Q95" s="7">
        <f>IF(suivi[[#This Row],['#support.nom]]="","",COUNTIF(suivi['#support.nom],suivi[[#This Row],['#support.nom]]))</f>
        <v>30</v>
      </c>
      <c r="T95" s="1"/>
      <c r="V95" s="4"/>
      <c r="AH95" t="str" cm="1">
        <f t="array" ref="AH95">_xlfn._xlws.FILTER(saisons[nom],(saisons[debut]&lt;=suivi[[#This Row],[date]])*(saisons[fin]&gt;=suivi[[#This Row],[date]]))</f>
        <v>2024-2025</v>
      </c>
      <c r="AI95">
        <f>MIN(COUNTIFS(suivi[entree.categorie],"Evènement",suivi[entree.nom],suivi[[#This Row],[entree.nom]]),1)</f>
        <v>0</v>
      </c>
      <c r="AK95" t="str" cm="1">
        <f t="array" ref="AK95">IFERROR(_xlfn.TEXTJOIN(",",TRUE,_xlfn.UNIQUE(_xlfn._xlws.FILTER(suivi['#support.traite_manuel],(suivi[[#This Row],['#support.nom]]&lt;&gt;"")*(suivi['#support.nom]=suivi[[#This Row],['#support.nom]])))),"-")</f>
        <v/>
      </c>
    </row>
    <row r="96" spans="1:37" x14ac:dyDescent="0.25">
      <c r="A96" s="1">
        <v>45604</v>
      </c>
      <c r="B96">
        <f>ROW(suivi[[#This Row],['#support.id]])-ROW(suivi[[#Headers],['#support.saison_en_cours]])</f>
        <v>93</v>
      </c>
      <c r="C96" s="7" t="str">
        <f>IF(suivi[[#This Row],['#support.saison]]=saison_en_cours,1,"")</f>
        <v/>
      </c>
      <c r="D96" t="s">
        <v>7</v>
      </c>
      <c r="G96" s="10">
        <v>1</v>
      </c>
      <c r="J96" s="23"/>
      <c r="K96" s="23"/>
      <c r="P96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Bon Jean</v>
      </c>
      <c r="Q96" s="7">
        <f>IF(suivi[[#This Row],['#support.nom]]="","",COUNTIF(suivi['#support.nom],suivi[[#This Row],['#support.nom]]))</f>
        <v>98</v>
      </c>
      <c r="T96" s="1"/>
      <c r="V96" s="4"/>
      <c r="AH96" t="str" cm="1">
        <f t="array" ref="AH96">_xlfn._xlws.FILTER(saisons[nom],(saisons[debut]&lt;=suivi[[#This Row],[date]])*(saisons[fin]&gt;=suivi[[#This Row],[date]]))</f>
        <v>2024-2025</v>
      </c>
      <c r="AI96">
        <f>MIN(COUNTIFS(suivi[entree.categorie],"Evènement",suivi[entree.nom],suivi[[#This Row],[entree.nom]]),1)</f>
        <v>0</v>
      </c>
      <c r="AK96" t="str" cm="1">
        <f t="array" ref="AK96">IFERROR(_xlfn.TEXTJOIN(",",TRUE,_xlfn.UNIQUE(_xlfn._xlws.FILTER(suivi['#support.traite_manuel],(suivi[[#This Row],['#support.nom]]&lt;&gt;"")*(suivi['#support.nom]=suivi[[#This Row],['#support.nom]])))),"-")</f>
        <v/>
      </c>
    </row>
    <row r="97" spans="1:37" x14ac:dyDescent="0.25">
      <c r="A97" s="1">
        <v>45604</v>
      </c>
      <c r="B97">
        <f>ROW(suivi[[#This Row],['#support.id]])-ROW(suivi[[#Headers],['#support.saison_en_cours]])</f>
        <v>94</v>
      </c>
      <c r="C97" s="7" t="str">
        <f>IF(suivi[[#This Row],['#support.saison]]=saison_en_cours,1,"")</f>
        <v/>
      </c>
      <c r="D97" t="s">
        <v>7</v>
      </c>
      <c r="G97" s="10">
        <v>2</v>
      </c>
      <c r="J97" s="23"/>
      <c r="K97" s="23"/>
      <c r="P97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Dupont Marie</v>
      </c>
      <c r="Q97" s="7">
        <f>IF(suivi[[#This Row],['#support.nom]]="","",COUNTIF(suivi['#support.nom],suivi[[#This Row],['#support.nom]]))</f>
        <v>30</v>
      </c>
      <c r="T97" s="1"/>
      <c r="V97" s="4"/>
      <c r="AH97" t="str" cm="1">
        <f t="array" ref="AH97">_xlfn._xlws.FILTER(saisons[nom],(saisons[debut]&lt;=suivi[[#This Row],[date]])*(saisons[fin]&gt;=suivi[[#This Row],[date]]))</f>
        <v>2024-2025</v>
      </c>
      <c r="AI97">
        <f>MIN(COUNTIFS(suivi[entree.categorie],"Evènement",suivi[entree.nom],suivi[[#This Row],[entree.nom]]),1)</f>
        <v>0</v>
      </c>
      <c r="AK97" t="str" cm="1">
        <f t="array" ref="AK97">IFERROR(_xlfn.TEXTJOIN(",",TRUE,_xlfn.UNIQUE(_xlfn._xlws.FILTER(suivi['#support.traite_manuel],(suivi[[#This Row],['#support.nom]]&lt;&gt;"")*(suivi['#support.nom]=suivi[[#This Row],['#support.nom]])))),"-")</f>
        <v/>
      </c>
    </row>
    <row r="98" spans="1:37" x14ac:dyDescent="0.25">
      <c r="A98" s="1">
        <v>45611</v>
      </c>
      <c r="B98">
        <f>ROW(suivi[[#This Row],['#support.id]])-ROW(suivi[[#Headers],['#support.saison_en_cours]])</f>
        <v>95</v>
      </c>
      <c r="C98" s="7" t="str">
        <f>IF(suivi[[#This Row],['#support.saison]]=saison_en_cours,1,"")</f>
        <v/>
      </c>
      <c r="D98" t="s">
        <v>7</v>
      </c>
      <c r="G98" s="10">
        <v>1</v>
      </c>
      <c r="J98" s="23"/>
      <c r="K98" s="23"/>
      <c r="P98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Bon Jean</v>
      </c>
      <c r="Q98" s="7">
        <f>IF(suivi[[#This Row],['#support.nom]]="","",COUNTIF(suivi['#support.nom],suivi[[#This Row],['#support.nom]]))</f>
        <v>98</v>
      </c>
      <c r="T98" s="1"/>
      <c r="V98" s="4"/>
      <c r="AH98" t="str" cm="1">
        <f t="array" ref="AH98">_xlfn._xlws.FILTER(saisons[nom],(saisons[debut]&lt;=suivi[[#This Row],[date]])*(saisons[fin]&gt;=suivi[[#This Row],[date]]))</f>
        <v>2024-2025</v>
      </c>
      <c r="AI98">
        <f>MIN(COUNTIFS(suivi[entree.categorie],"Evènement",suivi[entree.nom],suivi[[#This Row],[entree.nom]]),1)</f>
        <v>0</v>
      </c>
      <c r="AK98" t="str" cm="1">
        <f t="array" ref="AK98">IFERROR(_xlfn.TEXTJOIN(",",TRUE,_xlfn.UNIQUE(_xlfn._xlws.FILTER(suivi['#support.traite_manuel],(suivi[[#This Row],['#support.nom]]&lt;&gt;"")*(suivi['#support.nom]=suivi[[#This Row],['#support.nom]])))),"-")</f>
        <v/>
      </c>
    </row>
    <row r="99" spans="1:37" x14ac:dyDescent="0.25">
      <c r="A99" s="1">
        <v>45611</v>
      </c>
      <c r="B99">
        <f>ROW(suivi[[#This Row],['#support.id]])-ROW(suivi[[#Headers],['#support.saison_en_cours]])</f>
        <v>96</v>
      </c>
      <c r="C99" s="7" t="str">
        <f>IF(suivi[[#This Row],['#support.saison]]=saison_en_cours,1,"")</f>
        <v/>
      </c>
      <c r="D99" t="s">
        <v>7</v>
      </c>
      <c r="G99" s="10">
        <v>2</v>
      </c>
      <c r="J99" s="23"/>
      <c r="K99" s="23"/>
      <c r="P99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Dupont Marie</v>
      </c>
      <c r="Q99" s="7">
        <f>IF(suivi[[#This Row],['#support.nom]]="","",COUNTIF(suivi['#support.nom],suivi[[#This Row],['#support.nom]]))</f>
        <v>30</v>
      </c>
      <c r="T99" s="1"/>
      <c r="V99" s="4"/>
      <c r="AH99" t="str" cm="1">
        <f t="array" ref="AH99">_xlfn._xlws.FILTER(saisons[nom],(saisons[debut]&lt;=suivi[[#This Row],[date]])*(saisons[fin]&gt;=suivi[[#This Row],[date]]))</f>
        <v>2024-2025</v>
      </c>
      <c r="AI99">
        <f>MIN(COUNTIFS(suivi[entree.categorie],"Evènement",suivi[entree.nom],suivi[[#This Row],[entree.nom]]),1)</f>
        <v>0</v>
      </c>
      <c r="AK99" t="str" cm="1">
        <f t="array" ref="AK99">IFERROR(_xlfn.TEXTJOIN(",",TRUE,_xlfn.UNIQUE(_xlfn._xlws.FILTER(suivi['#support.traite_manuel],(suivi[[#This Row],['#support.nom]]&lt;&gt;"")*(suivi['#support.nom]=suivi[[#This Row],['#support.nom]])))),"-")</f>
        <v/>
      </c>
    </row>
    <row r="100" spans="1:37" x14ac:dyDescent="0.25">
      <c r="A100" s="1">
        <v>45611</v>
      </c>
      <c r="B100">
        <f>ROW(suivi[[#This Row],['#support.id]])-ROW(suivi[[#Headers],['#support.saison_en_cours]])</f>
        <v>97</v>
      </c>
      <c r="C100" s="7" t="str">
        <f>IF(suivi[[#This Row],['#support.saison]]=saison_en_cours,1,"")</f>
        <v/>
      </c>
      <c r="D100" t="s">
        <v>7</v>
      </c>
      <c r="G100" s="10">
        <v>5</v>
      </c>
      <c r="J100" s="23"/>
      <c r="K100" s="23"/>
      <c r="P100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AJ-00005</v>
      </c>
      <c r="Q100" s="7">
        <f>IF(suivi[[#This Row],['#support.nom]]="","",COUNTIF(suivi['#support.nom],suivi[[#This Row],['#support.nom]]))</f>
        <v>14</v>
      </c>
      <c r="T100" s="1"/>
      <c r="V100" s="4"/>
      <c r="AH100" t="str" cm="1">
        <f t="array" ref="AH100">_xlfn._xlws.FILTER(saisons[nom],(saisons[debut]&lt;=suivi[[#This Row],[date]])*(saisons[fin]&gt;=suivi[[#This Row],[date]]))</f>
        <v>2024-2025</v>
      </c>
      <c r="AI100">
        <f>MIN(COUNTIFS(suivi[entree.categorie],"Evènement",suivi[entree.nom],suivi[[#This Row],[entree.nom]]),1)</f>
        <v>0</v>
      </c>
      <c r="AK100" t="str" cm="1">
        <f t="array" ref="AK100">IFERROR(_xlfn.TEXTJOIN(",",TRUE,_xlfn.UNIQUE(_xlfn._xlws.FILTER(suivi['#support.traite_manuel],(suivi[[#This Row],['#support.nom]]&lt;&gt;"")*(suivi['#support.nom]=suivi[[#This Row],['#support.nom]])))),"-")</f>
        <v/>
      </c>
    </row>
    <row r="101" spans="1:37" x14ac:dyDescent="0.25">
      <c r="A101" s="1">
        <v>45618</v>
      </c>
      <c r="B101">
        <f>ROW(suivi[[#This Row],['#support.id]])-ROW(suivi[[#Headers],['#support.saison_en_cours]])</f>
        <v>98</v>
      </c>
      <c r="C101" s="7" t="str">
        <f>IF(suivi[[#This Row],['#support.saison]]=saison_en_cours,1,"")</f>
        <v/>
      </c>
      <c r="D101" t="s">
        <v>7</v>
      </c>
      <c r="G101" s="10">
        <v>1</v>
      </c>
      <c r="J101" s="23"/>
      <c r="K101" s="23"/>
      <c r="P101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Bon Jean</v>
      </c>
      <c r="Q101" s="7">
        <f>IF(suivi[[#This Row],['#support.nom]]="","",COUNTIF(suivi['#support.nom],suivi[[#This Row],['#support.nom]]))</f>
        <v>98</v>
      </c>
      <c r="T101" s="1"/>
      <c r="V101" s="4"/>
      <c r="AH101" t="str" cm="1">
        <f t="array" ref="AH101">_xlfn._xlws.FILTER(saisons[nom],(saisons[debut]&lt;=suivi[[#This Row],[date]])*(saisons[fin]&gt;=suivi[[#This Row],[date]]))</f>
        <v>2024-2025</v>
      </c>
      <c r="AI101">
        <f>MIN(COUNTIFS(suivi[entree.categorie],"Evènement",suivi[entree.nom],suivi[[#This Row],[entree.nom]]),1)</f>
        <v>0</v>
      </c>
      <c r="AK101" t="str" cm="1">
        <f t="array" ref="AK101">IFERROR(_xlfn.TEXTJOIN(",",TRUE,_xlfn.UNIQUE(_xlfn._xlws.FILTER(suivi['#support.traite_manuel],(suivi[[#This Row],['#support.nom]]&lt;&gt;"")*(suivi['#support.nom]=suivi[[#This Row],['#support.nom]])))),"-")</f>
        <v/>
      </c>
    </row>
    <row r="102" spans="1:37" x14ac:dyDescent="0.25">
      <c r="A102" s="1">
        <v>45625</v>
      </c>
      <c r="B102">
        <f>ROW(suivi[[#This Row],['#support.id]])-ROW(suivi[[#Headers],['#support.saison_en_cours]])</f>
        <v>99</v>
      </c>
      <c r="C102" s="7" t="str">
        <f>IF(suivi[[#This Row],['#support.saison]]=saison_en_cours,1,"")</f>
        <v/>
      </c>
      <c r="D102" t="s">
        <v>7</v>
      </c>
      <c r="G102" s="10">
        <v>1</v>
      </c>
      <c r="J102" s="23"/>
      <c r="K102" s="23"/>
      <c r="P102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Bon Jean</v>
      </c>
      <c r="Q102" s="7">
        <f>IF(suivi[[#This Row],['#support.nom]]="","",COUNTIF(suivi['#support.nom],suivi[[#This Row],['#support.nom]]))</f>
        <v>98</v>
      </c>
      <c r="T102" s="1"/>
      <c r="V102" s="4"/>
      <c r="AH102" t="str" cm="1">
        <f t="array" ref="AH102">_xlfn._xlws.FILTER(saisons[nom],(saisons[debut]&lt;=suivi[[#This Row],[date]])*(saisons[fin]&gt;=suivi[[#This Row],[date]]))</f>
        <v>2024-2025</v>
      </c>
      <c r="AI102">
        <f>MIN(COUNTIFS(suivi[entree.categorie],"Evènement",suivi[entree.nom],suivi[[#This Row],[entree.nom]]),1)</f>
        <v>0</v>
      </c>
      <c r="AK102" t="str" cm="1">
        <f t="array" ref="AK102">IFERROR(_xlfn.TEXTJOIN(",",TRUE,_xlfn.UNIQUE(_xlfn._xlws.FILTER(suivi['#support.traite_manuel],(suivi[[#This Row],['#support.nom]]&lt;&gt;"")*(suivi['#support.nom]=suivi[[#This Row],['#support.nom]])))),"-")</f>
        <v/>
      </c>
    </row>
    <row r="103" spans="1:37" x14ac:dyDescent="0.25">
      <c r="A103" s="1">
        <v>45625</v>
      </c>
      <c r="B103">
        <f>ROW(suivi[[#This Row],['#support.id]])-ROW(suivi[[#Headers],['#support.saison_en_cours]])</f>
        <v>100</v>
      </c>
      <c r="C103" s="7" t="str">
        <f>IF(suivi[[#This Row],['#support.saison]]=saison_en_cours,1,"")</f>
        <v/>
      </c>
      <c r="D103" t="s">
        <v>7</v>
      </c>
      <c r="G103" s="10">
        <v>2</v>
      </c>
      <c r="J103" s="23"/>
      <c r="K103" s="23"/>
      <c r="P103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Dupont Marie</v>
      </c>
      <c r="Q103" s="7">
        <f>IF(suivi[[#This Row],['#support.nom]]="","",COUNTIF(suivi['#support.nom],suivi[[#This Row],['#support.nom]]))</f>
        <v>30</v>
      </c>
      <c r="T103" s="1"/>
      <c r="V103" s="4"/>
      <c r="AH103" t="str" cm="1">
        <f t="array" ref="AH103">_xlfn._xlws.FILTER(saisons[nom],(saisons[debut]&lt;=suivi[[#This Row],[date]])*(saisons[fin]&gt;=suivi[[#This Row],[date]]))</f>
        <v>2024-2025</v>
      </c>
      <c r="AI103">
        <f>MIN(COUNTIFS(suivi[entree.categorie],"Evènement",suivi[entree.nom],suivi[[#This Row],[entree.nom]]),1)</f>
        <v>0</v>
      </c>
      <c r="AK103" t="str" cm="1">
        <f t="array" ref="AK103">IFERROR(_xlfn.TEXTJOIN(",",TRUE,_xlfn.UNIQUE(_xlfn._xlws.FILTER(suivi['#support.traite_manuel],(suivi[[#This Row],['#support.nom]]&lt;&gt;"")*(suivi['#support.nom]=suivi[[#This Row],['#support.nom]])))),"-")</f>
        <v/>
      </c>
    </row>
    <row r="104" spans="1:37" x14ac:dyDescent="0.25">
      <c r="A104" s="1">
        <v>45632</v>
      </c>
      <c r="B104">
        <f>ROW(suivi[[#This Row],['#support.id]])-ROW(suivi[[#Headers],['#support.saison_en_cours]])</f>
        <v>101</v>
      </c>
      <c r="C104" s="7" t="str">
        <f>IF(suivi[[#This Row],['#support.saison]]=saison_en_cours,1,"")</f>
        <v/>
      </c>
      <c r="D104" t="s">
        <v>7</v>
      </c>
      <c r="G104" s="10">
        <v>1</v>
      </c>
      <c r="J104" s="23"/>
      <c r="K104" s="23"/>
      <c r="P104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Bon Jean</v>
      </c>
      <c r="Q104" s="7">
        <f>IF(suivi[[#This Row],['#support.nom]]="","",COUNTIF(suivi['#support.nom],suivi[[#This Row],['#support.nom]]))</f>
        <v>98</v>
      </c>
      <c r="T104" s="1"/>
      <c r="V104" s="4"/>
      <c r="AH104" t="str" cm="1">
        <f t="array" ref="AH104">_xlfn._xlws.FILTER(saisons[nom],(saisons[debut]&lt;=suivi[[#This Row],[date]])*(saisons[fin]&gt;=suivi[[#This Row],[date]]))</f>
        <v>2024-2025</v>
      </c>
      <c r="AI104">
        <f>MIN(COUNTIFS(suivi[entree.categorie],"Evènement",suivi[entree.nom],suivi[[#This Row],[entree.nom]]),1)</f>
        <v>0</v>
      </c>
      <c r="AK104" t="str" cm="1">
        <f t="array" ref="AK104">IFERROR(_xlfn.TEXTJOIN(",",TRUE,_xlfn.UNIQUE(_xlfn._xlws.FILTER(suivi['#support.traite_manuel],(suivi[[#This Row],['#support.nom]]&lt;&gt;"")*(suivi['#support.nom]=suivi[[#This Row],['#support.nom]])))),"-")</f>
        <v/>
      </c>
    </row>
    <row r="105" spans="1:37" x14ac:dyDescent="0.25">
      <c r="A105" s="1">
        <v>45639</v>
      </c>
      <c r="B105">
        <f>ROW(suivi[[#This Row],['#support.id]])-ROW(suivi[[#Headers],['#support.saison_en_cours]])</f>
        <v>102</v>
      </c>
      <c r="C105" s="7" t="str">
        <f>IF(suivi[[#This Row],['#support.saison]]=saison_en_cours,1,"")</f>
        <v/>
      </c>
      <c r="D105" t="s">
        <v>7</v>
      </c>
      <c r="G105" s="10">
        <v>1</v>
      </c>
      <c r="J105" s="23"/>
      <c r="K105" s="23"/>
      <c r="P105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Bon Jean</v>
      </c>
      <c r="Q105" s="7">
        <f>IF(suivi[[#This Row],['#support.nom]]="","",COUNTIF(suivi['#support.nom],suivi[[#This Row],['#support.nom]]))</f>
        <v>98</v>
      </c>
      <c r="T105" s="1"/>
      <c r="V105" s="4"/>
      <c r="AH105" t="str" cm="1">
        <f t="array" ref="AH105">_xlfn._xlws.FILTER(saisons[nom],(saisons[debut]&lt;=suivi[[#This Row],[date]])*(saisons[fin]&gt;=suivi[[#This Row],[date]]))</f>
        <v>2024-2025</v>
      </c>
      <c r="AI105">
        <f>MIN(COUNTIFS(suivi[entree.categorie],"Evènement",suivi[entree.nom],suivi[[#This Row],[entree.nom]]),1)</f>
        <v>0</v>
      </c>
      <c r="AK105" t="str" cm="1">
        <f t="array" ref="AK105">IFERROR(_xlfn.TEXTJOIN(",",TRUE,_xlfn.UNIQUE(_xlfn._xlws.FILTER(suivi['#support.traite_manuel],(suivi[[#This Row],['#support.nom]]&lt;&gt;"")*(suivi['#support.nom]=suivi[[#This Row],['#support.nom]])))),"-")</f>
        <v/>
      </c>
    </row>
    <row r="106" spans="1:37" x14ac:dyDescent="0.25">
      <c r="A106" s="1">
        <v>45646</v>
      </c>
      <c r="B106">
        <f>ROW(suivi[[#This Row],['#support.id]])-ROW(suivi[[#Headers],['#support.saison_en_cours]])</f>
        <v>103</v>
      </c>
      <c r="C106" s="7" t="str">
        <f>IF(suivi[[#This Row],['#support.saison]]=saison_en_cours,1,"")</f>
        <v/>
      </c>
      <c r="D106" t="s">
        <v>7</v>
      </c>
      <c r="G106" s="10">
        <v>1</v>
      </c>
      <c r="J106" s="23"/>
      <c r="K106" s="23"/>
      <c r="P106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Bon Jean</v>
      </c>
      <c r="Q106" s="7">
        <f>IF(suivi[[#This Row],['#support.nom]]="","",COUNTIF(suivi['#support.nom],suivi[[#This Row],['#support.nom]]))</f>
        <v>98</v>
      </c>
      <c r="T106" s="1"/>
      <c r="V106" s="4"/>
      <c r="AH106" t="str" cm="1">
        <f t="array" ref="AH106">_xlfn._xlws.FILTER(saisons[nom],(saisons[debut]&lt;=suivi[[#This Row],[date]])*(saisons[fin]&gt;=suivi[[#This Row],[date]]))</f>
        <v>2024-2025</v>
      </c>
      <c r="AI106">
        <f>MIN(COUNTIFS(suivi[entree.categorie],"Evènement",suivi[entree.nom],suivi[[#This Row],[entree.nom]]),1)</f>
        <v>0</v>
      </c>
      <c r="AK106" t="str" cm="1">
        <f t="array" ref="AK106">IFERROR(_xlfn.TEXTJOIN(",",TRUE,_xlfn.UNIQUE(_xlfn._xlws.FILTER(suivi['#support.traite_manuel],(suivi[[#This Row],['#support.nom]]&lt;&gt;"")*(suivi['#support.nom]=suivi[[#This Row],['#support.nom]])))),"-")</f>
        <v/>
      </c>
    </row>
    <row r="107" spans="1:37" x14ac:dyDescent="0.25">
      <c r="A107" s="1">
        <v>45660</v>
      </c>
      <c r="B107">
        <f>ROW(suivi[[#This Row],['#support.id]])-ROW(suivi[[#Headers],['#support.saison_en_cours]])</f>
        <v>104</v>
      </c>
      <c r="C107" s="7" t="str">
        <f>IF(suivi[[#This Row],['#support.saison]]=saison_en_cours,1,"")</f>
        <v/>
      </c>
      <c r="D107" t="s">
        <v>7</v>
      </c>
      <c r="G107" s="10">
        <v>1</v>
      </c>
      <c r="J107" s="23"/>
      <c r="K107" s="23"/>
      <c r="P107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Bon Jean</v>
      </c>
      <c r="Q107" s="7">
        <f>IF(suivi[[#This Row],['#support.nom]]="","",COUNTIF(suivi['#support.nom],suivi[[#This Row],['#support.nom]]))</f>
        <v>98</v>
      </c>
      <c r="T107" s="1"/>
      <c r="V107" s="4"/>
      <c r="AH107" t="str" cm="1">
        <f t="array" ref="AH107">_xlfn._xlws.FILTER(saisons[nom],(saisons[debut]&lt;=suivi[[#This Row],[date]])*(saisons[fin]&gt;=suivi[[#This Row],[date]]))</f>
        <v>2024-2025</v>
      </c>
      <c r="AI107">
        <f>MIN(COUNTIFS(suivi[entree.categorie],"Evènement",suivi[entree.nom],suivi[[#This Row],[entree.nom]]),1)</f>
        <v>0</v>
      </c>
      <c r="AK107" t="str" cm="1">
        <f t="array" ref="AK107">IFERROR(_xlfn.TEXTJOIN(",",TRUE,_xlfn.UNIQUE(_xlfn._xlws.FILTER(suivi['#support.traite_manuel],(suivi[[#This Row],['#support.nom]]&lt;&gt;"")*(suivi['#support.nom]=suivi[[#This Row],['#support.nom]])))),"-")</f>
        <v/>
      </c>
    </row>
    <row r="108" spans="1:37" x14ac:dyDescent="0.25">
      <c r="A108" s="1">
        <v>45660</v>
      </c>
      <c r="B108">
        <f>ROW(suivi[[#This Row],['#support.id]])-ROW(suivi[[#Headers],['#support.saison_en_cours]])</f>
        <v>105</v>
      </c>
      <c r="C108" s="7" t="str">
        <f>IF(suivi[[#This Row],['#support.saison]]=saison_en_cours,1,"")</f>
        <v/>
      </c>
      <c r="D108" t="s">
        <v>7</v>
      </c>
      <c r="G108" s="10">
        <v>2</v>
      </c>
      <c r="J108" s="23"/>
      <c r="K108" s="23"/>
      <c r="P108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Dupont Marie</v>
      </c>
      <c r="Q108" s="7">
        <f>IF(suivi[[#This Row],['#support.nom]]="","",COUNTIF(suivi['#support.nom],suivi[[#This Row],['#support.nom]]))</f>
        <v>30</v>
      </c>
      <c r="T108" s="1"/>
      <c r="V108" s="4"/>
      <c r="AH108" t="str" cm="1">
        <f t="array" ref="AH108">_xlfn._xlws.FILTER(saisons[nom],(saisons[debut]&lt;=suivi[[#This Row],[date]])*(saisons[fin]&gt;=suivi[[#This Row],[date]]))</f>
        <v>2024-2025</v>
      </c>
      <c r="AI108">
        <f>MIN(COUNTIFS(suivi[entree.categorie],"Evènement",suivi[entree.nom],suivi[[#This Row],[entree.nom]]),1)</f>
        <v>0</v>
      </c>
      <c r="AK108" t="str" cm="1">
        <f t="array" ref="AK108">IFERROR(_xlfn.TEXTJOIN(",",TRUE,_xlfn.UNIQUE(_xlfn._xlws.FILTER(suivi['#support.traite_manuel],(suivi[[#This Row],['#support.nom]]&lt;&gt;"")*(suivi['#support.nom]=suivi[[#This Row],['#support.nom]])))),"-")</f>
        <v/>
      </c>
    </row>
    <row r="109" spans="1:37" x14ac:dyDescent="0.25">
      <c r="A109" s="1">
        <v>45665</v>
      </c>
      <c r="B109">
        <f>ROW(suivi[[#This Row],['#support.id]])-ROW(suivi[[#Headers],['#support.saison_en_cours]])</f>
        <v>106</v>
      </c>
      <c r="C109" s="7" t="str">
        <f>IF(suivi[[#This Row],['#support.saison]]=saison_en_cours,1,"")</f>
        <v/>
      </c>
      <c r="D109" t="s">
        <v>0</v>
      </c>
      <c r="E109" t="s">
        <v>164</v>
      </c>
      <c r="F109" t="s">
        <v>188</v>
      </c>
      <c r="G109" s="10"/>
      <c r="I109" t="s">
        <v>80</v>
      </c>
      <c r="J109" s="23"/>
      <c r="K109" s="23">
        <v>-54.5</v>
      </c>
      <c r="P109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[suivi] Evènement_Epiphanie 2025_Galette - le fournil des bocages_106</v>
      </c>
      <c r="Q109" s="7">
        <f>IF(suivi[[#This Row],['#support.nom]]="","",COUNTIF(suivi['#support.nom],suivi[[#This Row],['#support.nom]]))</f>
        <v>1</v>
      </c>
      <c r="T109" s="1"/>
      <c r="V109" s="4"/>
      <c r="AH109" t="str" cm="1">
        <f t="array" ref="AH109">_xlfn._xlws.FILTER(saisons[nom],(saisons[debut]&lt;=suivi[[#This Row],[date]])*(saisons[fin]&gt;=suivi[[#This Row],[date]]))</f>
        <v>2024-2025</v>
      </c>
      <c r="AI109">
        <f>MIN(COUNTIFS(suivi[entree.categorie],"Evènement",suivi[entree.nom],suivi[[#This Row],[entree.nom]]),1)</f>
        <v>1</v>
      </c>
      <c r="AK109" t="str" cm="1">
        <f t="array" ref="AK109">IFERROR(_xlfn.TEXTJOIN(",",TRUE,_xlfn.UNIQUE(_xlfn._xlws.FILTER(suivi['#support.traite_manuel],(suivi[[#This Row],['#support.nom]]&lt;&gt;"")*(suivi['#support.nom]=suivi[[#This Row],['#support.nom]])))),"-")</f>
        <v/>
      </c>
    </row>
    <row r="110" spans="1:37" x14ac:dyDescent="0.25">
      <c r="A110" s="1">
        <v>45665</v>
      </c>
      <c r="B110">
        <f>ROW(suivi[[#This Row],['#support.id]])-ROW(suivi[[#Headers],['#support.saison_en_cours]])</f>
        <v>107</v>
      </c>
      <c r="C110" s="7" t="str">
        <f>IF(suivi[[#This Row],['#support.saison]]=saison_en_cours,1,"")</f>
        <v/>
      </c>
      <c r="D110" t="s">
        <v>0</v>
      </c>
      <c r="E110" t="s">
        <v>164</v>
      </c>
      <c r="F110" t="s">
        <v>189</v>
      </c>
      <c r="G110" s="10"/>
      <c r="I110" t="s">
        <v>80</v>
      </c>
      <c r="J110" s="23"/>
      <c r="K110" s="23">
        <v>-16.609999999999996</v>
      </c>
      <c r="P110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[suivi] Evènement_Epiphanie 2025_Consommables - carrefour_107</v>
      </c>
      <c r="Q110" s="7">
        <f>IF(suivi[[#This Row],['#support.nom]]="","",COUNTIF(suivi['#support.nom],suivi[[#This Row],['#support.nom]]))</f>
        <v>1</v>
      </c>
      <c r="T110" s="1"/>
      <c r="V110" s="4"/>
      <c r="AH110" t="str" cm="1">
        <f t="array" ref="AH110">_xlfn._xlws.FILTER(saisons[nom],(saisons[debut]&lt;=suivi[[#This Row],[date]])*(saisons[fin]&gt;=suivi[[#This Row],[date]]))</f>
        <v>2024-2025</v>
      </c>
      <c r="AI110">
        <f>MIN(COUNTIFS(suivi[entree.categorie],"Evènement",suivi[entree.nom],suivi[[#This Row],[entree.nom]]),1)</f>
        <v>1</v>
      </c>
      <c r="AK110" t="str" cm="1">
        <f t="array" ref="AK110">IFERROR(_xlfn.TEXTJOIN(",",TRUE,_xlfn.UNIQUE(_xlfn._xlws.FILTER(suivi['#support.traite_manuel],(suivi[[#This Row],['#support.nom]]&lt;&gt;"")*(suivi['#support.nom]=suivi[[#This Row],['#support.nom]])))),"-")</f>
        <v/>
      </c>
    </row>
    <row r="111" spans="1:37" x14ac:dyDescent="0.25">
      <c r="A111" s="1">
        <v>45667</v>
      </c>
      <c r="B111">
        <f>ROW(suivi[[#This Row],['#support.id]])-ROW(suivi[[#Headers],['#support.saison_en_cours]])</f>
        <v>108</v>
      </c>
      <c r="C111" s="7" t="str">
        <f>IF(suivi[[#This Row],['#support.saison]]=saison_en_cours,1,"")</f>
        <v/>
      </c>
      <c r="D111" t="s">
        <v>7</v>
      </c>
      <c r="E111" t="s">
        <v>164</v>
      </c>
      <c r="G111" s="10">
        <v>1</v>
      </c>
      <c r="J111" s="23"/>
      <c r="K111" s="23"/>
      <c r="P111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Bon Jean</v>
      </c>
      <c r="Q111" s="7">
        <f>IF(suivi[[#This Row],['#support.nom]]="","",COUNTIF(suivi['#support.nom],suivi[[#This Row],['#support.nom]]))</f>
        <v>98</v>
      </c>
      <c r="T111" s="1"/>
      <c r="V111" s="4"/>
      <c r="AH111" t="str" cm="1">
        <f t="array" ref="AH111">_xlfn._xlws.FILTER(saisons[nom],(saisons[debut]&lt;=suivi[[#This Row],[date]])*(saisons[fin]&gt;=suivi[[#This Row],[date]]))</f>
        <v>2024-2025</v>
      </c>
      <c r="AI111">
        <f>MIN(COUNTIFS(suivi[entree.categorie],"Evènement",suivi[entree.nom],suivi[[#This Row],[entree.nom]]),1)</f>
        <v>1</v>
      </c>
      <c r="AK111" t="str" cm="1">
        <f t="array" ref="AK111">IFERROR(_xlfn.TEXTJOIN(",",TRUE,_xlfn.UNIQUE(_xlfn._xlws.FILTER(suivi['#support.traite_manuel],(suivi[[#This Row],['#support.nom]]&lt;&gt;"")*(suivi['#support.nom]=suivi[[#This Row],['#support.nom]])))),"-")</f>
        <v/>
      </c>
    </row>
    <row r="112" spans="1:37" x14ac:dyDescent="0.25">
      <c r="A112" s="1">
        <v>45667</v>
      </c>
      <c r="B112">
        <f>ROW(suivi[[#This Row],['#support.id]])-ROW(suivi[[#Headers],['#support.saison_en_cours]])</f>
        <v>109</v>
      </c>
      <c r="C112" s="7" t="str">
        <f>IF(suivi[[#This Row],['#support.saison]]=saison_en_cours,1,"")</f>
        <v/>
      </c>
      <c r="D112" t="s">
        <v>7</v>
      </c>
      <c r="E112" t="s">
        <v>164</v>
      </c>
      <c r="G112" s="10">
        <v>2</v>
      </c>
      <c r="J112" s="23"/>
      <c r="K112" s="23"/>
      <c r="P112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Dupont Marie</v>
      </c>
      <c r="Q112" s="7">
        <f>IF(suivi[[#This Row],['#support.nom]]="","",COUNTIF(suivi['#support.nom],suivi[[#This Row],['#support.nom]]))</f>
        <v>30</v>
      </c>
      <c r="T112" s="1"/>
      <c r="V112" s="4"/>
      <c r="AH112" t="str" cm="1">
        <f t="array" ref="AH112">_xlfn._xlws.FILTER(saisons[nom],(saisons[debut]&lt;=suivi[[#This Row],[date]])*(saisons[fin]&gt;=suivi[[#This Row],[date]]))</f>
        <v>2024-2025</v>
      </c>
      <c r="AI112">
        <f>MIN(COUNTIFS(suivi[entree.categorie],"Evènement",suivi[entree.nom],suivi[[#This Row],[entree.nom]]),1)</f>
        <v>1</v>
      </c>
      <c r="AK112" t="str" cm="1">
        <f t="array" ref="AK112">IFERROR(_xlfn.TEXTJOIN(",",TRUE,_xlfn.UNIQUE(_xlfn._xlws.FILTER(suivi['#support.traite_manuel],(suivi[[#This Row],['#support.nom]]&lt;&gt;"")*(suivi['#support.nom]=suivi[[#This Row],['#support.nom]])))),"-")</f>
        <v/>
      </c>
    </row>
    <row r="113" spans="1:37" x14ac:dyDescent="0.25">
      <c r="A113" s="1">
        <v>45667</v>
      </c>
      <c r="B113">
        <f>ROW(suivi[[#This Row],['#support.id]])-ROW(suivi[[#Headers],['#support.saison_en_cours]])</f>
        <v>110</v>
      </c>
      <c r="C113" s="7" t="str">
        <f>IF(suivi[[#This Row],['#support.saison]]=saison_en_cours,1,"")</f>
        <v/>
      </c>
      <c r="D113" t="s">
        <v>0</v>
      </c>
      <c r="E113" t="s">
        <v>164</v>
      </c>
      <c r="G113" s="10"/>
      <c r="J113" s="23"/>
      <c r="K113" s="23"/>
      <c r="P113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[suivi] Evènement_Epiphanie 2025_110</v>
      </c>
      <c r="Q113" s="7">
        <f>IF(suivi[[#This Row],['#support.nom]]="","",COUNTIF(suivi['#support.nom],suivi[[#This Row],['#support.nom]]))</f>
        <v>1</v>
      </c>
      <c r="T113" s="1"/>
      <c r="V113" s="4"/>
      <c r="AH113" t="str" cm="1">
        <f t="array" ref="AH113">_xlfn._xlws.FILTER(saisons[nom],(saisons[debut]&lt;=suivi[[#This Row],[date]])*(saisons[fin]&gt;=suivi[[#This Row],[date]]))</f>
        <v>2024-2025</v>
      </c>
      <c r="AI113">
        <f>MIN(COUNTIFS(suivi[entree.categorie],"Evènement",suivi[entree.nom],suivi[[#This Row],[entree.nom]]),1)</f>
        <v>1</v>
      </c>
      <c r="AK113" t="str" cm="1">
        <f t="array" ref="AK113">IFERROR(_xlfn.TEXTJOIN(",",TRUE,_xlfn.UNIQUE(_xlfn._xlws.FILTER(suivi['#support.traite_manuel],(suivi[[#This Row],['#support.nom]]&lt;&gt;"")*(suivi['#support.nom]=suivi[[#This Row],['#support.nom]])))),"-")</f>
        <v/>
      </c>
    </row>
    <row r="114" spans="1:37" x14ac:dyDescent="0.25">
      <c r="A114" s="1">
        <v>45674</v>
      </c>
      <c r="B114">
        <f>ROW(suivi[[#This Row],['#support.id]])-ROW(suivi[[#Headers],['#support.saison_en_cours]])</f>
        <v>111</v>
      </c>
      <c r="C114" s="7" t="str">
        <f>IF(suivi[[#This Row],['#support.saison]]=saison_en_cours,1,"")</f>
        <v/>
      </c>
      <c r="D114" t="s">
        <v>7</v>
      </c>
      <c r="G114" s="10">
        <v>1</v>
      </c>
      <c r="J114" s="23"/>
      <c r="K114" s="23"/>
      <c r="P114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Bon Jean</v>
      </c>
      <c r="Q114" s="7">
        <f>IF(suivi[[#This Row],['#support.nom]]="","",COUNTIF(suivi['#support.nom],suivi[[#This Row],['#support.nom]]))</f>
        <v>98</v>
      </c>
      <c r="T114" s="1"/>
      <c r="V114" s="4"/>
      <c r="AH114" t="str" cm="1">
        <f t="array" ref="AH114">_xlfn._xlws.FILTER(saisons[nom],(saisons[debut]&lt;=suivi[[#This Row],[date]])*(saisons[fin]&gt;=suivi[[#This Row],[date]]))</f>
        <v>2024-2025</v>
      </c>
      <c r="AI114">
        <f>MIN(COUNTIFS(suivi[entree.categorie],"Evènement",suivi[entree.nom],suivi[[#This Row],[entree.nom]]),1)</f>
        <v>0</v>
      </c>
      <c r="AK114" t="str" cm="1">
        <f t="array" ref="AK114">IFERROR(_xlfn.TEXTJOIN(",",TRUE,_xlfn.UNIQUE(_xlfn._xlws.FILTER(suivi['#support.traite_manuel],(suivi[[#This Row],['#support.nom]]&lt;&gt;"")*(suivi['#support.nom]=suivi[[#This Row],['#support.nom]])))),"-")</f>
        <v/>
      </c>
    </row>
    <row r="115" spans="1:37" x14ac:dyDescent="0.25">
      <c r="A115" s="1">
        <v>45674</v>
      </c>
      <c r="B115">
        <f>ROW(suivi[[#This Row],['#support.id]])-ROW(suivi[[#Headers],['#support.saison_en_cours]])</f>
        <v>112</v>
      </c>
      <c r="C115" s="7" t="str">
        <f>IF(suivi[[#This Row],['#support.saison]]=saison_en_cours,1,"")</f>
        <v/>
      </c>
      <c r="D115" t="s">
        <v>0</v>
      </c>
      <c r="E115" t="s">
        <v>164</v>
      </c>
      <c r="F115" t="s">
        <v>190</v>
      </c>
      <c r="G115" s="10"/>
      <c r="I115" t="s">
        <v>80</v>
      </c>
      <c r="J115" s="23"/>
      <c r="K115" s="23">
        <v>-5.94</v>
      </c>
      <c r="P115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[suivi] Evènement_Epiphanie 2025_Boisson Nicolas_112</v>
      </c>
      <c r="Q115" s="7">
        <f>IF(suivi[[#This Row],['#support.nom]]="","",COUNTIF(suivi['#support.nom],suivi[[#This Row],['#support.nom]]))</f>
        <v>1</v>
      </c>
      <c r="T115" s="1"/>
      <c r="V115" s="4"/>
      <c r="AH115" t="str" cm="1">
        <f t="array" ref="AH115">_xlfn._xlws.FILTER(saisons[nom],(saisons[debut]&lt;=suivi[[#This Row],[date]])*(saisons[fin]&gt;=suivi[[#This Row],[date]]))</f>
        <v>2024-2025</v>
      </c>
      <c r="AI115">
        <f>MIN(COUNTIFS(suivi[entree.categorie],"Evènement",suivi[entree.nom],suivi[[#This Row],[entree.nom]]),1)</f>
        <v>1</v>
      </c>
      <c r="AK115" t="str" cm="1">
        <f t="array" ref="AK115">IFERROR(_xlfn.TEXTJOIN(",",TRUE,_xlfn.UNIQUE(_xlfn._xlws.FILTER(suivi['#support.traite_manuel],(suivi[[#This Row],['#support.nom]]&lt;&gt;"")*(suivi['#support.nom]=suivi[[#This Row],['#support.nom]])))),"-")</f>
        <v/>
      </c>
    </row>
    <row r="116" spans="1:37" x14ac:dyDescent="0.25">
      <c r="A116" s="1">
        <v>45681</v>
      </c>
      <c r="B116">
        <f>ROW(suivi[[#This Row],['#support.id]])-ROW(suivi[[#Headers],['#support.saison_en_cours]])</f>
        <v>113</v>
      </c>
      <c r="C116" s="7" t="str">
        <f>IF(suivi[[#This Row],['#support.saison]]=saison_en_cours,1,"")</f>
        <v/>
      </c>
      <c r="D116" t="s">
        <v>7</v>
      </c>
      <c r="G116" s="10">
        <v>1</v>
      </c>
      <c r="J116" s="23"/>
      <c r="K116" s="23"/>
      <c r="P116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Bon Jean</v>
      </c>
      <c r="Q116" s="7">
        <f>IF(suivi[[#This Row],['#support.nom]]="","",COUNTIF(suivi['#support.nom],suivi[[#This Row],['#support.nom]]))</f>
        <v>98</v>
      </c>
      <c r="T116" s="1"/>
      <c r="V116" s="4"/>
      <c r="AH116" t="str" cm="1">
        <f t="array" ref="AH116">_xlfn._xlws.FILTER(saisons[nom],(saisons[debut]&lt;=suivi[[#This Row],[date]])*(saisons[fin]&gt;=suivi[[#This Row],[date]]))</f>
        <v>2024-2025</v>
      </c>
      <c r="AI116">
        <f>MIN(COUNTIFS(suivi[entree.categorie],"Evènement",suivi[entree.nom],suivi[[#This Row],[entree.nom]]),1)</f>
        <v>0</v>
      </c>
      <c r="AK116" t="str" cm="1">
        <f t="array" ref="AK116">IFERROR(_xlfn.TEXTJOIN(",",TRUE,_xlfn.UNIQUE(_xlfn._xlws.FILTER(suivi['#support.traite_manuel],(suivi[[#This Row],['#support.nom]]&lt;&gt;"")*(suivi['#support.nom]=suivi[[#This Row],['#support.nom]])))),"-")</f>
        <v/>
      </c>
    </row>
    <row r="117" spans="1:37" x14ac:dyDescent="0.25">
      <c r="A117" s="1">
        <v>45688</v>
      </c>
      <c r="B117">
        <f>ROW(suivi[[#This Row],['#support.id]])-ROW(suivi[[#Headers],['#support.saison_en_cours]])</f>
        <v>114</v>
      </c>
      <c r="C117" s="7" t="str">
        <f>IF(suivi[[#This Row],['#support.saison]]=saison_en_cours,1,"")</f>
        <v/>
      </c>
      <c r="D117" t="s">
        <v>7</v>
      </c>
      <c r="G117" s="10">
        <v>1</v>
      </c>
      <c r="J117" s="23"/>
      <c r="K117" s="23"/>
      <c r="P117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Bon Jean</v>
      </c>
      <c r="Q117" s="7">
        <f>IF(suivi[[#This Row],['#support.nom]]="","",COUNTIF(suivi['#support.nom],suivi[[#This Row],['#support.nom]]))</f>
        <v>98</v>
      </c>
      <c r="T117" s="1"/>
      <c r="V117" s="4"/>
      <c r="AH117" t="str" cm="1">
        <f t="array" ref="AH117">_xlfn._xlws.FILTER(saisons[nom],(saisons[debut]&lt;=suivi[[#This Row],[date]])*(saisons[fin]&gt;=suivi[[#This Row],[date]]))</f>
        <v>2024-2025</v>
      </c>
      <c r="AI117">
        <f>MIN(COUNTIFS(suivi[entree.categorie],"Evènement",suivi[entree.nom],suivi[[#This Row],[entree.nom]]),1)</f>
        <v>0</v>
      </c>
      <c r="AK117" t="str" cm="1">
        <f t="array" ref="AK117">IFERROR(_xlfn.TEXTJOIN(",",TRUE,_xlfn.UNIQUE(_xlfn._xlws.FILTER(suivi['#support.traite_manuel],(suivi[[#This Row],['#support.nom]]&lt;&gt;"")*(suivi['#support.nom]=suivi[[#This Row],['#support.nom]])))),"-")</f>
        <v/>
      </c>
    </row>
    <row r="118" spans="1:37" x14ac:dyDescent="0.25">
      <c r="A118" s="1">
        <v>45695</v>
      </c>
      <c r="B118">
        <f>ROW(suivi[[#This Row],['#support.id]])-ROW(suivi[[#Headers],['#support.saison_en_cours]])</f>
        <v>115</v>
      </c>
      <c r="C118" s="7" t="str">
        <f>IF(suivi[[#This Row],['#support.saison]]=saison_en_cours,1,"")</f>
        <v/>
      </c>
      <c r="D118" t="s">
        <v>7</v>
      </c>
      <c r="G118" s="10">
        <v>1</v>
      </c>
      <c r="J118" s="23"/>
      <c r="K118" s="23"/>
      <c r="P118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Bon Jean</v>
      </c>
      <c r="Q118" s="7">
        <f>IF(suivi[[#This Row],['#support.nom]]="","",COUNTIF(suivi['#support.nom],suivi[[#This Row],['#support.nom]]))</f>
        <v>98</v>
      </c>
      <c r="T118" s="1"/>
      <c r="V118" s="4"/>
      <c r="AH118" t="str" cm="1">
        <f t="array" ref="AH118">_xlfn._xlws.FILTER(saisons[nom],(saisons[debut]&lt;=suivi[[#This Row],[date]])*(saisons[fin]&gt;=suivi[[#This Row],[date]]))</f>
        <v>2024-2025</v>
      </c>
      <c r="AI118">
        <f>MIN(COUNTIFS(suivi[entree.categorie],"Evènement",suivi[entree.nom],suivi[[#This Row],[entree.nom]]),1)</f>
        <v>0</v>
      </c>
      <c r="AK118" t="str" cm="1">
        <f t="array" ref="AK118">IFERROR(_xlfn.TEXTJOIN(",",TRUE,_xlfn.UNIQUE(_xlfn._xlws.FILTER(suivi['#support.traite_manuel],(suivi[[#This Row],['#support.nom]]&lt;&gt;"")*(suivi['#support.nom]=suivi[[#This Row],['#support.nom]])))),"-")</f>
        <v/>
      </c>
    </row>
    <row r="119" spans="1:37" x14ac:dyDescent="0.25">
      <c r="A119" s="1">
        <v>45695</v>
      </c>
      <c r="B119">
        <f>ROW(suivi[[#This Row],['#support.id]])-ROW(suivi[[#Headers],['#support.saison_en_cours]])</f>
        <v>116</v>
      </c>
      <c r="C119" s="7" t="str">
        <f>IF(suivi[[#This Row],['#support.saison]]=saison_en_cours,1,"")</f>
        <v/>
      </c>
      <c r="D119" t="s">
        <v>7</v>
      </c>
      <c r="G119" s="10">
        <v>2</v>
      </c>
      <c r="J119" s="23"/>
      <c r="K119" s="23"/>
      <c r="P119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Dupont Marie</v>
      </c>
      <c r="Q119" s="7">
        <f>IF(suivi[[#This Row],['#support.nom]]="","",COUNTIF(suivi['#support.nom],suivi[[#This Row],['#support.nom]]))</f>
        <v>30</v>
      </c>
      <c r="T119" s="1"/>
      <c r="V119" s="4"/>
      <c r="AH119" t="str" cm="1">
        <f t="array" ref="AH119">_xlfn._xlws.FILTER(saisons[nom],(saisons[debut]&lt;=suivi[[#This Row],[date]])*(saisons[fin]&gt;=suivi[[#This Row],[date]]))</f>
        <v>2024-2025</v>
      </c>
      <c r="AI119">
        <f>MIN(COUNTIFS(suivi[entree.categorie],"Evènement",suivi[entree.nom],suivi[[#This Row],[entree.nom]]),1)</f>
        <v>0</v>
      </c>
      <c r="AK119" t="str" cm="1">
        <f t="array" ref="AK119">IFERROR(_xlfn.TEXTJOIN(",",TRUE,_xlfn.UNIQUE(_xlfn._xlws.FILTER(suivi['#support.traite_manuel],(suivi[[#This Row],['#support.nom]]&lt;&gt;"")*(suivi['#support.nom]=suivi[[#This Row],['#support.nom]])))),"-")</f>
        <v/>
      </c>
    </row>
    <row r="120" spans="1:37" x14ac:dyDescent="0.25">
      <c r="A120" s="1">
        <v>45702</v>
      </c>
      <c r="B120">
        <f>ROW(suivi[[#This Row],['#support.id]])-ROW(suivi[[#Headers],['#support.saison_en_cours]])</f>
        <v>117</v>
      </c>
      <c r="C120" s="7" t="str">
        <f>IF(suivi[[#This Row],['#support.saison]]=saison_en_cours,1,"")</f>
        <v/>
      </c>
      <c r="D120" t="s">
        <v>7</v>
      </c>
      <c r="G120" s="10">
        <v>2</v>
      </c>
      <c r="J120" s="23"/>
      <c r="K120" s="23"/>
      <c r="P120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Dupont Marie</v>
      </c>
      <c r="Q120" s="7">
        <f>IF(suivi[[#This Row],['#support.nom]]="","",COUNTIF(suivi['#support.nom],suivi[[#This Row],['#support.nom]]))</f>
        <v>30</v>
      </c>
      <c r="T120" s="1"/>
      <c r="V120" s="4"/>
      <c r="AH120" t="str" cm="1">
        <f t="array" ref="AH120">_xlfn._xlws.FILTER(saisons[nom],(saisons[debut]&lt;=suivi[[#This Row],[date]])*(saisons[fin]&gt;=suivi[[#This Row],[date]]))</f>
        <v>2024-2025</v>
      </c>
      <c r="AI120">
        <f>MIN(COUNTIFS(suivi[entree.categorie],"Evènement",suivi[entree.nom],suivi[[#This Row],[entree.nom]]),1)</f>
        <v>0</v>
      </c>
      <c r="AK120" t="str" cm="1">
        <f t="array" ref="AK120">IFERROR(_xlfn.TEXTJOIN(",",TRUE,_xlfn.UNIQUE(_xlfn._xlws.FILTER(suivi['#support.traite_manuel],(suivi[[#This Row],['#support.nom]]&lt;&gt;"")*(suivi['#support.nom]=suivi[[#This Row],['#support.nom]])))),"-")</f>
        <v/>
      </c>
    </row>
    <row r="121" spans="1:37" x14ac:dyDescent="0.25">
      <c r="A121" s="1">
        <v>45709</v>
      </c>
      <c r="B121">
        <f>ROW(suivi[[#This Row],['#support.id]])-ROW(suivi[[#Headers],['#support.saison_en_cours]])</f>
        <v>118</v>
      </c>
      <c r="C121" s="7" t="str">
        <f>IF(suivi[[#This Row],['#support.saison]]=saison_en_cours,1,"")</f>
        <v/>
      </c>
      <c r="D121" t="s">
        <v>7</v>
      </c>
      <c r="G121" s="10">
        <v>1</v>
      </c>
      <c r="J121" s="23"/>
      <c r="K121" s="23"/>
      <c r="P121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Bon Jean</v>
      </c>
      <c r="Q121" s="7">
        <f>IF(suivi[[#This Row],['#support.nom]]="","",COUNTIF(suivi['#support.nom],suivi[[#This Row],['#support.nom]]))</f>
        <v>98</v>
      </c>
      <c r="T121" s="1"/>
      <c r="V121" s="4"/>
      <c r="AH121" t="str" cm="1">
        <f t="array" ref="AH121">_xlfn._xlws.FILTER(saisons[nom],(saisons[debut]&lt;=suivi[[#This Row],[date]])*(saisons[fin]&gt;=suivi[[#This Row],[date]]))</f>
        <v>2024-2025</v>
      </c>
      <c r="AI121">
        <f>MIN(COUNTIFS(suivi[entree.categorie],"Evènement",suivi[entree.nom],suivi[[#This Row],[entree.nom]]),1)</f>
        <v>0</v>
      </c>
      <c r="AK121" t="str" cm="1">
        <f t="array" ref="AK121">IFERROR(_xlfn.TEXTJOIN(",",TRUE,_xlfn.UNIQUE(_xlfn._xlws.FILTER(suivi['#support.traite_manuel],(suivi[[#This Row],['#support.nom]]&lt;&gt;"")*(suivi['#support.nom]=suivi[[#This Row],['#support.nom]])))),"-")</f>
        <v/>
      </c>
    </row>
    <row r="122" spans="1:37" x14ac:dyDescent="0.25">
      <c r="A122" s="1">
        <v>45716</v>
      </c>
      <c r="B122">
        <f>ROW(suivi[[#This Row],['#support.id]])-ROW(suivi[[#Headers],['#support.saison_en_cours]])</f>
        <v>119</v>
      </c>
      <c r="C122" s="7" t="str">
        <f>IF(suivi[[#This Row],['#support.saison]]=saison_en_cours,1,"")</f>
        <v/>
      </c>
      <c r="D122" t="s">
        <v>7</v>
      </c>
      <c r="G122" s="10">
        <v>1</v>
      </c>
      <c r="J122" s="23"/>
      <c r="K122" s="23"/>
      <c r="P122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Bon Jean</v>
      </c>
      <c r="Q122" s="7">
        <f>IF(suivi[[#This Row],['#support.nom]]="","",COUNTIF(suivi['#support.nom],suivi[[#This Row],['#support.nom]]))</f>
        <v>98</v>
      </c>
      <c r="T122" s="1"/>
      <c r="V122" s="4"/>
      <c r="AH122" t="str" cm="1">
        <f t="array" ref="AH122">_xlfn._xlws.FILTER(saisons[nom],(saisons[debut]&lt;=suivi[[#This Row],[date]])*(saisons[fin]&gt;=suivi[[#This Row],[date]]))</f>
        <v>2024-2025</v>
      </c>
      <c r="AI122">
        <f>MIN(COUNTIFS(suivi[entree.categorie],"Evènement",suivi[entree.nom],suivi[[#This Row],[entree.nom]]),1)</f>
        <v>0</v>
      </c>
      <c r="AK122" t="str" cm="1">
        <f t="array" ref="AK122">IFERROR(_xlfn.TEXTJOIN(",",TRUE,_xlfn.UNIQUE(_xlfn._xlws.FILTER(suivi['#support.traite_manuel],(suivi[[#This Row],['#support.nom]]&lt;&gt;"")*(suivi['#support.nom]=suivi[[#This Row],['#support.nom]])))),"-")</f>
        <v/>
      </c>
    </row>
    <row r="123" spans="1:37" x14ac:dyDescent="0.25">
      <c r="A123" s="1">
        <v>45723</v>
      </c>
      <c r="B123">
        <f>ROW(suivi[[#This Row],['#support.id]])-ROW(suivi[[#Headers],['#support.saison_en_cours]])</f>
        <v>120</v>
      </c>
      <c r="C123" s="7" t="str">
        <f>IF(suivi[[#This Row],['#support.saison]]=saison_en_cours,1,"")</f>
        <v/>
      </c>
      <c r="D123" t="s">
        <v>7</v>
      </c>
      <c r="G123" s="10">
        <v>1</v>
      </c>
      <c r="J123" s="23"/>
      <c r="K123" s="23"/>
      <c r="P123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Bon Jean</v>
      </c>
      <c r="Q123" s="7">
        <f>IF(suivi[[#This Row],['#support.nom]]="","",COUNTIF(suivi['#support.nom],suivi[[#This Row],['#support.nom]]))</f>
        <v>98</v>
      </c>
      <c r="T123" s="1"/>
      <c r="V123" s="4"/>
      <c r="AH123" t="str" cm="1">
        <f t="array" ref="AH123">_xlfn._xlws.FILTER(saisons[nom],(saisons[debut]&lt;=suivi[[#This Row],[date]])*(saisons[fin]&gt;=suivi[[#This Row],[date]]))</f>
        <v>2024-2025</v>
      </c>
      <c r="AI123">
        <f>MIN(COUNTIFS(suivi[entree.categorie],"Evènement",suivi[entree.nom],suivi[[#This Row],[entree.nom]]),1)</f>
        <v>0</v>
      </c>
      <c r="AK123" t="str" cm="1">
        <f t="array" ref="AK123">IFERROR(_xlfn.TEXTJOIN(",",TRUE,_xlfn.UNIQUE(_xlfn._xlws.FILTER(suivi['#support.traite_manuel],(suivi[[#This Row],['#support.nom]]&lt;&gt;"")*(suivi['#support.nom]=suivi[[#This Row],['#support.nom]])))),"-")</f>
        <v/>
      </c>
    </row>
    <row r="124" spans="1:37" x14ac:dyDescent="0.25">
      <c r="A124" s="1">
        <v>45723</v>
      </c>
      <c r="B124">
        <f>ROW(suivi[[#This Row],['#support.id]])-ROW(suivi[[#Headers],['#support.saison_en_cours]])</f>
        <v>121</v>
      </c>
      <c r="C124" s="7" t="str">
        <f>IF(suivi[[#This Row],['#support.saison]]=saison_en_cours,1,"")</f>
        <v/>
      </c>
      <c r="D124" t="s">
        <v>7</v>
      </c>
      <c r="G124" s="10">
        <v>2</v>
      </c>
      <c r="J124" s="23"/>
      <c r="K124" s="23"/>
      <c r="P124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Dupont Marie</v>
      </c>
      <c r="Q124" s="7">
        <f>IF(suivi[[#This Row],['#support.nom]]="","",COUNTIF(suivi['#support.nom],suivi[[#This Row],['#support.nom]]))</f>
        <v>30</v>
      </c>
      <c r="T124" s="1"/>
      <c r="V124" s="4"/>
      <c r="AH124" t="str" cm="1">
        <f t="array" ref="AH124">_xlfn._xlws.FILTER(saisons[nom],(saisons[debut]&lt;=suivi[[#This Row],[date]])*(saisons[fin]&gt;=suivi[[#This Row],[date]]))</f>
        <v>2024-2025</v>
      </c>
      <c r="AI124">
        <f>MIN(COUNTIFS(suivi[entree.categorie],"Evènement",suivi[entree.nom],suivi[[#This Row],[entree.nom]]),1)</f>
        <v>0</v>
      </c>
      <c r="AK124" t="str" cm="1">
        <f t="array" ref="AK124">IFERROR(_xlfn.TEXTJOIN(",",TRUE,_xlfn.UNIQUE(_xlfn._xlws.FILTER(suivi['#support.traite_manuel],(suivi[[#This Row],['#support.nom]]&lt;&gt;"")*(suivi['#support.nom]=suivi[[#This Row],['#support.nom]])))),"-")</f>
        <v/>
      </c>
    </row>
    <row r="125" spans="1:37" x14ac:dyDescent="0.25">
      <c r="A125" s="1">
        <v>45730</v>
      </c>
      <c r="B125">
        <f>ROW(suivi[[#This Row],['#support.id]])-ROW(suivi[[#Headers],['#support.saison_en_cours]])</f>
        <v>122</v>
      </c>
      <c r="C125" s="7" t="str">
        <f>IF(suivi[[#This Row],['#support.saison]]=saison_en_cours,1,"")</f>
        <v/>
      </c>
      <c r="D125" t="s">
        <v>7</v>
      </c>
      <c r="G125" s="10">
        <v>1</v>
      </c>
      <c r="J125" s="23"/>
      <c r="K125" s="23"/>
      <c r="P125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Bon Jean</v>
      </c>
      <c r="Q125" s="7">
        <f>IF(suivi[[#This Row],['#support.nom]]="","",COUNTIF(suivi['#support.nom],suivi[[#This Row],['#support.nom]]))</f>
        <v>98</v>
      </c>
      <c r="T125" s="1"/>
      <c r="V125" s="4"/>
      <c r="AH125" t="str" cm="1">
        <f t="array" ref="AH125">_xlfn._xlws.FILTER(saisons[nom],(saisons[debut]&lt;=suivi[[#This Row],[date]])*(saisons[fin]&gt;=suivi[[#This Row],[date]]))</f>
        <v>2024-2025</v>
      </c>
      <c r="AI125">
        <f>MIN(COUNTIFS(suivi[entree.categorie],"Evènement",suivi[entree.nom],suivi[[#This Row],[entree.nom]]),1)</f>
        <v>0</v>
      </c>
      <c r="AK125" t="str" cm="1">
        <f t="array" ref="AK125">IFERROR(_xlfn.TEXTJOIN(",",TRUE,_xlfn.UNIQUE(_xlfn._xlws.FILTER(suivi['#support.traite_manuel],(suivi[[#This Row],['#support.nom]]&lt;&gt;"")*(suivi['#support.nom]=suivi[[#This Row],['#support.nom]])))),"-")</f>
        <v/>
      </c>
    </row>
    <row r="126" spans="1:37" x14ac:dyDescent="0.25">
      <c r="A126" s="1">
        <v>45737</v>
      </c>
      <c r="B126">
        <f>ROW(suivi[[#This Row],['#support.id]])-ROW(suivi[[#Headers],['#support.saison_en_cours]])</f>
        <v>123</v>
      </c>
      <c r="C126" s="7" t="str">
        <f>IF(suivi[[#This Row],['#support.saison]]=saison_en_cours,1,"")</f>
        <v/>
      </c>
      <c r="D126" t="s">
        <v>7</v>
      </c>
      <c r="E126" t="s">
        <v>165</v>
      </c>
      <c r="G126" s="10">
        <v>1</v>
      </c>
      <c r="J126" s="23"/>
      <c r="K126" s="23"/>
      <c r="P126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Bon Jean</v>
      </c>
      <c r="Q126" s="7">
        <f>IF(suivi[[#This Row],['#support.nom]]="","",COUNTIF(suivi['#support.nom],suivi[[#This Row],['#support.nom]]))</f>
        <v>98</v>
      </c>
      <c r="T126" s="1"/>
      <c r="V126" s="4"/>
      <c r="AH126" t="str" cm="1">
        <f t="array" ref="AH126">_xlfn._xlws.FILTER(saisons[nom],(saisons[debut]&lt;=suivi[[#This Row],[date]])*(saisons[fin]&gt;=suivi[[#This Row],[date]]))</f>
        <v>2024-2025</v>
      </c>
      <c r="AI126">
        <f>MIN(COUNTIFS(suivi[entree.categorie],"Evènement",suivi[entree.nom],suivi[[#This Row],[entree.nom]]),1)</f>
        <v>1</v>
      </c>
      <c r="AK126" t="str" cm="1">
        <f t="array" ref="AK126">IFERROR(_xlfn.TEXTJOIN(",",TRUE,_xlfn.UNIQUE(_xlfn._xlws.FILTER(suivi['#support.traite_manuel],(suivi[[#This Row],['#support.nom]]&lt;&gt;"")*(suivi['#support.nom]=suivi[[#This Row],['#support.nom]])))),"-")</f>
        <v/>
      </c>
    </row>
    <row r="127" spans="1:37" x14ac:dyDescent="0.25">
      <c r="A127" s="1">
        <v>45737</v>
      </c>
      <c r="B127">
        <f>ROW(suivi[[#This Row],['#support.id]])-ROW(suivi[[#Headers],['#support.saison_en_cours]])</f>
        <v>124</v>
      </c>
      <c r="C127" s="7" t="str">
        <f>IF(suivi[[#This Row],['#support.saison]]=saison_en_cours,1,"")</f>
        <v/>
      </c>
      <c r="D127" t="s">
        <v>7</v>
      </c>
      <c r="E127" t="s">
        <v>165</v>
      </c>
      <c r="G127" s="10">
        <v>2</v>
      </c>
      <c r="J127" s="23"/>
      <c r="K127" s="23"/>
      <c r="P127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Dupont Marie</v>
      </c>
      <c r="Q127" s="7">
        <f>IF(suivi[[#This Row],['#support.nom]]="","",COUNTIF(suivi['#support.nom],suivi[[#This Row],['#support.nom]]))</f>
        <v>30</v>
      </c>
      <c r="T127" s="1"/>
      <c r="V127" s="4"/>
      <c r="AH127" t="str" cm="1">
        <f t="array" ref="AH127">_xlfn._xlws.FILTER(saisons[nom],(saisons[debut]&lt;=suivi[[#This Row],[date]])*(saisons[fin]&gt;=suivi[[#This Row],[date]]))</f>
        <v>2024-2025</v>
      </c>
      <c r="AI127">
        <f>MIN(COUNTIFS(suivi[entree.categorie],"Evènement",suivi[entree.nom],suivi[[#This Row],[entree.nom]]),1)</f>
        <v>1</v>
      </c>
      <c r="AK127" t="str" cm="1">
        <f t="array" ref="AK127">IFERROR(_xlfn.TEXTJOIN(",",TRUE,_xlfn.UNIQUE(_xlfn._xlws.FILTER(suivi['#support.traite_manuel],(suivi[[#This Row],['#support.nom]]&lt;&gt;"")*(suivi['#support.nom]=suivi[[#This Row],['#support.nom]])))),"-")</f>
        <v/>
      </c>
    </row>
    <row r="128" spans="1:37" x14ac:dyDescent="0.25">
      <c r="A128" s="1">
        <v>45737</v>
      </c>
      <c r="B128">
        <f>ROW(suivi[[#This Row],['#support.id]])-ROW(suivi[[#Headers],['#support.saison_en_cours]])</f>
        <v>125</v>
      </c>
      <c r="C128" s="7" t="str">
        <f>IF(suivi[[#This Row],['#support.saison]]=saison_en_cours,1,"")</f>
        <v/>
      </c>
      <c r="D128" t="s">
        <v>0</v>
      </c>
      <c r="E128" t="s">
        <v>165</v>
      </c>
      <c r="G128" s="10"/>
      <c r="J128" s="23"/>
      <c r="K128" s="23"/>
      <c r="P128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[suivi] Evènement_Soirée Jeux Duo_125</v>
      </c>
      <c r="Q128" s="7">
        <f>IF(suivi[[#This Row],['#support.nom]]="","",COUNTIF(suivi['#support.nom],suivi[[#This Row],['#support.nom]]))</f>
        <v>1</v>
      </c>
      <c r="T128" s="1"/>
      <c r="V128" s="4"/>
      <c r="AH128" t="str" cm="1">
        <f t="array" ref="AH128">_xlfn._xlws.FILTER(saisons[nom],(saisons[debut]&lt;=suivi[[#This Row],[date]])*(saisons[fin]&gt;=suivi[[#This Row],[date]]))</f>
        <v>2024-2025</v>
      </c>
      <c r="AI128">
        <f>MIN(COUNTIFS(suivi[entree.categorie],"Evènement",suivi[entree.nom],suivi[[#This Row],[entree.nom]]),1)</f>
        <v>1</v>
      </c>
      <c r="AK128" t="str" cm="1">
        <f t="array" ref="AK128">IFERROR(_xlfn.TEXTJOIN(",",TRUE,_xlfn.UNIQUE(_xlfn._xlws.FILTER(suivi['#support.traite_manuel],(suivi[[#This Row],['#support.nom]]&lt;&gt;"")*(suivi['#support.nom]=suivi[[#This Row],['#support.nom]])))),"-")</f>
        <v/>
      </c>
    </row>
    <row r="129" spans="1:37" x14ac:dyDescent="0.25">
      <c r="A129" s="1">
        <v>45744</v>
      </c>
      <c r="B129">
        <f>ROW(suivi[[#This Row],['#support.id]])-ROW(suivi[[#Headers],['#support.saison_en_cours]])</f>
        <v>126</v>
      </c>
      <c r="C129" s="7" t="str">
        <f>IF(suivi[[#This Row],['#support.saison]]=saison_en_cours,1,"")</f>
        <v/>
      </c>
      <c r="D129" t="s">
        <v>7</v>
      </c>
      <c r="G129" s="10">
        <v>1</v>
      </c>
      <c r="J129" s="23"/>
      <c r="K129" s="23"/>
      <c r="P129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Bon Jean</v>
      </c>
      <c r="Q129" s="7">
        <f>IF(suivi[[#This Row],['#support.nom]]="","",COUNTIF(suivi['#support.nom],suivi[[#This Row],['#support.nom]]))</f>
        <v>98</v>
      </c>
      <c r="T129" s="1"/>
      <c r="V129" s="4"/>
      <c r="AH129" t="str" cm="1">
        <f t="array" ref="AH129">_xlfn._xlws.FILTER(saisons[nom],(saisons[debut]&lt;=suivi[[#This Row],[date]])*(saisons[fin]&gt;=suivi[[#This Row],[date]]))</f>
        <v>2024-2025</v>
      </c>
      <c r="AI129">
        <f>MIN(COUNTIFS(suivi[entree.categorie],"Evènement",suivi[entree.nom],suivi[[#This Row],[entree.nom]]),1)</f>
        <v>0</v>
      </c>
      <c r="AK129" t="str" cm="1">
        <f t="array" ref="AK129">IFERROR(_xlfn.TEXTJOIN(",",TRUE,_xlfn.UNIQUE(_xlfn._xlws.FILTER(suivi['#support.traite_manuel],(suivi[[#This Row],['#support.nom]]&lt;&gt;"")*(suivi['#support.nom]=suivi[[#This Row],['#support.nom]])))),"-")</f>
        <v/>
      </c>
    </row>
    <row r="130" spans="1:37" x14ac:dyDescent="0.25">
      <c r="A130" s="1">
        <v>45744</v>
      </c>
      <c r="B130">
        <f>ROW(suivi[[#This Row],['#support.id]])-ROW(suivi[[#Headers],['#support.saison_en_cours]])</f>
        <v>127</v>
      </c>
      <c r="C130" s="7" t="str">
        <f>IF(suivi[[#This Row],['#support.saison]]=saison_en_cours,1,"")</f>
        <v/>
      </c>
      <c r="D130" t="s">
        <v>7</v>
      </c>
      <c r="G130" s="10">
        <v>2</v>
      </c>
      <c r="J130" s="23"/>
      <c r="K130" s="23"/>
      <c r="P130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Dupont Marie</v>
      </c>
      <c r="Q130" s="7">
        <f>IF(suivi[[#This Row],['#support.nom]]="","",COUNTIF(suivi['#support.nom],suivi[[#This Row],['#support.nom]]))</f>
        <v>30</v>
      </c>
      <c r="T130" s="1"/>
      <c r="V130" s="4"/>
      <c r="AH130" t="str" cm="1">
        <f t="array" ref="AH130">_xlfn._xlws.FILTER(saisons[nom],(saisons[debut]&lt;=suivi[[#This Row],[date]])*(saisons[fin]&gt;=suivi[[#This Row],[date]]))</f>
        <v>2024-2025</v>
      </c>
      <c r="AI130">
        <f>MIN(COUNTIFS(suivi[entree.categorie],"Evènement",suivi[entree.nom],suivi[[#This Row],[entree.nom]]),1)</f>
        <v>0</v>
      </c>
      <c r="AK130" t="str" cm="1">
        <f t="array" ref="AK130">IFERROR(_xlfn.TEXTJOIN(",",TRUE,_xlfn.UNIQUE(_xlfn._xlws.FILTER(suivi['#support.traite_manuel],(suivi[[#This Row],['#support.nom]]&lt;&gt;"")*(suivi['#support.nom]=suivi[[#This Row],['#support.nom]])))),"-")</f>
        <v/>
      </c>
    </row>
    <row r="131" spans="1:37" x14ac:dyDescent="0.25">
      <c r="A131" s="1">
        <v>45751</v>
      </c>
      <c r="B131">
        <f>ROW(suivi[[#This Row],['#support.id]])-ROW(suivi[[#Headers],['#support.saison_en_cours]])</f>
        <v>128</v>
      </c>
      <c r="C131" s="7" t="str">
        <f>IF(suivi[[#This Row],['#support.saison]]=saison_en_cours,1,"")</f>
        <v/>
      </c>
      <c r="D131" t="s">
        <v>7</v>
      </c>
      <c r="G131" s="10">
        <v>1</v>
      </c>
      <c r="J131" s="23"/>
      <c r="K131" s="23"/>
      <c r="P131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Bon Jean</v>
      </c>
      <c r="Q131" s="7">
        <f>IF(suivi[[#This Row],['#support.nom]]="","",COUNTIF(suivi['#support.nom],suivi[[#This Row],['#support.nom]]))</f>
        <v>98</v>
      </c>
      <c r="T131" s="1"/>
      <c r="V131" s="4"/>
      <c r="AH131" t="str" cm="1">
        <f t="array" ref="AH131">_xlfn._xlws.FILTER(saisons[nom],(saisons[debut]&lt;=suivi[[#This Row],[date]])*(saisons[fin]&gt;=suivi[[#This Row],[date]]))</f>
        <v>2024-2025</v>
      </c>
      <c r="AI131">
        <f>MIN(COUNTIFS(suivi[entree.categorie],"Evènement",suivi[entree.nom],suivi[[#This Row],[entree.nom]]),1)</f>
        <v>0</v>
      </c>
      <c r="AK131" t="str" cm="1">
        <f t="array" ref="AK131">IFERROR(_xlfn.TEXTJOIN(",",TRUE,_xlfn.UNIQUE(_xlfn._xlws.FILTER(suivi['#support.traite_manuel],(suivi[[#This Row],['#support.nom]]&lt;&gt;"")*(suivi['#support.nom]=suivi[[#This Row],['#support.nom]])))),"-")</f>
        <v/>
      </c>
    </row>
    <row r="132" spans="1:37" x14ac:dyDescent="0.25">
      <c r="A132" s="1">
        <v>45751</v>
      </c>
      <c r="B132">
        <f>ROW(suivi[[#This Row],['#support.id]])-ROW(suivi[[#Headers],['#support.saison_en_cours]])</f>
        <v>129</v>
      </c>
      <c r="C132" s="7" t="str">
        <f>IF(suivi[[#This Row],['#support.saison]]=saison_en_cours,1,"")</f>
        <v/>
      </c>
      <c r="D132" t="s">
        <v>7</v>
      </c>
      <c r="G132" s="10">
        <v>2</v>
      </c>
      <c r="J132" s="23"/>
      <c r="K132" s="23"/>
      <c r="P132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Dupont Marie</v>
      </c>
      <c r="Q132" s="7">
        <f>IF(suivi[[#This Row],['#support.nom]]="","",COUNTIF(suivi['#support.nom],suivi[[#This Row],['#support.nom]]))</f>
        <v>30</v>
      </c>
      <c r="T132" s="1"/>
      <c r="V132" s="4"/>
      <c r="AH132" t="str" cm="1">
        <f t="array" ref="AH132">_xlfn._xlws.FILTER(saisons[nom],(saisons[debut]&lt;=suivi[[#This Row],[date]])*(saisons[fin]&gt;=suivi[[#This Row],[date]]))</f>
        <v>2024-2025</v>
      </c>
      <c r="AI132">
        <f>MIN(COUNTIFS(suivi[entree.categorie],"Evènement",suivi[entree.nom],suivi[[#This Row],[entree.nom]]),1)</f>
        <v>0</v>
      </c>
      <c r="AK132" t="str" cm="1">
        <f t="array" ref="AK132">IFERROR(_xlfn.TEXTJOIN(",",TRUE,_xlfn.UNIQUE(_xlfn._xlws.FILTER(suivi['#support.traite_manuel],(suivi[[#This Row],['#support.nom]]&lt;&gt;"")*(suivi['#support.nom]=suivi[[#This Row],['#support.nom]])))),"-")</f>
        <v/>
      </c>
    </row>
    <row r="133" spans="1:37" x14ac:dyDescent="0.25">
      <c r="A133" s="1">
        <v>45758</v>
      </c>
      <c r="B133">
        <f>ROW(suivi[[#This Row],['#support.id]])-ROW(suivi[[#Headers],['#support.saison_en_cours]])</f>
        <v>130</v>
      </c>
      <c r="C133" s="7" t="str">
        <f>IF(suivi[[#This Row],['#support.saison]]=saison_en_cours,1,"")</f>
        <v/>
      </c>
      <c r="D133" t="s">
        <v>7</v>
      </c>
      <c r="G133" s="10">
        <v>1</v>
      </c>
      <c r="J133" s="23"/>
      <c r="K133" s="23"/>
      <c r="P133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Bon Jean</v>
      </c>
      <c r="Q133" s="7">
        <f>IF(suivi[[#This Row],['#support.nom]]="","",COUNTIF(suivi['#support.nom],suivi[[#This Row],['#support.nom]]))</f>
        <v>98</v>
      </c>
      <c r="T133" s="1"/>
      <c r="V133" s="4"/>
      <c r="AH133" t="str" cm="1">
        <f t="array" ref="AH133">_xlfn._xlws.FILTER(saisons[nom],(saisons[debut]&lt;=suivi[[#This Row],[date]])*(saisons[fin]&gt;=suivi[[#This Row],[date]]))</f>
        <v>2024-2025</v>
      </c>
      <c r="AI133">
        <f>MIN(COUNTIFS(suivi[entree.categorie],"Evènement",suivi[entree.nom],suivi[[#This Row],[entree.nom]]),1)</f>
        <v>0</v>
      </c>
      <c r="AK133" t="str" cm="1">
        <f t="array" ref="AK133">IFERROR(_xlfn.TEXTJOIN(",",TRUE,_xlfn.UNIQUE(_xlfn._xlws.FILTER(suivi['#support.traite_manuel],(suivi[[#This Row],['#support.nom]]&lt;&gt;"")*(suivi['#support.nom]=suivi[[#This Row],['#support.nom]])))),"-")</f>
        <v/>
      </c>
    </row>
    <row r="134" spans="1:37" x14ac:dyDescent="0.25">
      <c r="A134" s="1">
        <v>45765</v>
      </c>
      <c r="B134">
        <f>ROW(suivi[[#This Row],['#support.id]])-ROW(suivi[[#Headers],['#support.saison_en_cours]])</f>
        <v>131</v>
      </c>
      <c r="C134" s="7" t="str">
        <f>IF(suivi[[#This Row],['#support.saison]]=saison_en_cours,1,"")</f>
        <v/>
      </c>
      <c r="D134" t="s">
        <v>7</v>
      </c>
      <c r="G134" s="10">
        <v>1</v>
      </c>
      <c r="J134" s="23"/>
      <c r="K134" s="23"/>
      <c r="P134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Bon Jean</v>
      </c>
      <c r="Q134" s="7">
        <f>IF(suivi[[#This Row],['#support.nom]]="","",COUNTIF(suivi['#support.nom],suivi[[#This Row],['#support.nom]]))</f>
        <v>98</v>
      </c>
      <c r="T134" s="1"/>
      <c r="V134" s="4"/>
      <c r="AH134" t="str" cm="1">
        <f t="array" ref="AH134">_xlfn._xlws.FILTER(saisons[nom],(saisons[debut]&lt;=suivi[[#This Row],[date]])*(saisons[fin]&gt;=suivi[[#This Row],[date]]))</f>
        <v>2024-2025</v>
      </c>
      <c r="AI134">
        <f>MIN(COUNTIFS(suivi[entree.categorie],"Evènement",suivi[entree.nom],suivi[[#This Row],[entree.nom]]),1)</f>
        <v>0</v>
      </c>
      <c r="AK134" t="str" cm="1">
        <f t="array" ref="AK134">IFERROR(_xlfn.TEXTJOIN(",",TRUE,_xlfn.UNIQUE(_xlfn._xlws.FILTER(suivi['#support.traite_manuel],(suivi[[#This Row],['#support.nom]]&lt;&gt;"")*(suivi['#support.nom]=suivi[[#This Row],['#support.nom]])))),"-")</f>
        <v/>
      </c>
    </row>
    <row r="135" spans="1:37" x14ac:dyDescent="0.25">
      <c r="A135" s="1">
        <v>45772</v>
      </c>
      <c r="B135">
        <f>ROW(suivi[[#This Row],['#support.id]])-ROW(suivi[[#Headers],['#support.saison_en_cours]])</f>
        <v>132</v>
      </c>
      <c r="C135" s="7" t="str">
        <f>IF(suivi[[#This Row],['#support.saison]]=saison_en_cours,1,"")</f>
        <v/>
      </c>
      <c r="D135" t="s">
        <v>7</v>
      </c>
      <c r="G135" s="10">
        <v>1</v>
      </c>
      <c r="J135" s="23"/>
      <c r="K135" s="23"/>
      <c r="P135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Bon Jean</v>
      </c>
      <c r="Q135" s="7">
        <f>IF(suivi[[#This Row],['#support.nom]]="","",COUNTIF(suivi['#support.nom],suivi[[#This Row],['#support.nom]]))</f>
        <v>98</v>
      </c>
      <c r="T135" s="1"/>
      <c r="V135" s="4"/>
      <c r="AH135" t="str" cm="1">
        <f t="array" ref="AH135">_xlfn._xlws.FILTER(saisons[nom],(saisons[debut]&lt;=suivi[[#This Row],[date]])*(saisons[fin]&gt;=suivi[[#This Row],[date]]))</f>
        <v>2024-2025</v>
      </c>
      <c r="AI135">
        <f>MIN(COUNTIFS(suivi[entree.categorie],"Evènement",suivi[entree.nom],suivi[[#This Row],[entree.nom]]),1)</f>
        <v>0</v>
      </c>
      <c r="AK135" t="str" cm="1">
        <f t="array" ref="AK135">IFERROR(_xlfn.TEXTJOIN(",",TRUE,_xlfn.UNIQUE(_xlfn._xlws.FILTER(suivi['#support.traite_manuel],(suivi[[#This Row],['#support.nom]]&lt;&gt;"")*(suivi['#support.nom]=suivi[[#This Row],['#support.nom]])))),"-")</f>
        <v/>
      </c>
    </row>
    <row r="136" spans="1:37" x14ac:dyDescent="0.25">
      <c r="A136" s="1">
        <v>45779</v>
      </c>
      <c r="B136">
        <f>ROW(suivi[[#This Row],['#support.id]])-ROW(suivi[[#Headers],['#support.saison_en_cours]])</f>
        <v>133</v>
      </c>
      <c r="C136" s="7" t="str">
        <f>IF(suivi[[#This Row],['#support.saison]]=saison_en_cours,1,"")</f>
        <v/>
      </c>
      <c r="D136" t="s">
        <v>7</v>
      </c>
      <c r="G136" s="10">
        <v>1</v>
      </c>
      <c r="J136" s="23"/>
      <c r="K136" s="23"/>
      <c r="P136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Bon Jean</v>
      </c>
      <c r="Q136" s="7">
        <f>IF(suivi[[#This Row],['#support.nom]]="","",COUNTIF(suivi['#support.nom],suivi[[#This Row],['#support.nom]]))</f>
        <v>98</v>
      </c>
      <c r="T136" s="1"/>
      <c r="V136" s="4"/>
      <c r="AH136" t="str" cm="1">
        <f t="array" ref="AH136">_xlfn._xlws.FILTER(saisons[nom],(saisons[debut]&lt;=suivi[[#This Row],[date]])*(saisons[fin]&gt;=suivi[[#This Row],[date]]))</f>
        <v>2024-2025</v>
      </c>
      <c r="AI136">
        <f>MIN(COUNTIFS(suivi[entree.categorie],"Evènement",suivi[entree.nom],suivi[[#This Row],[entree.nom]]),1)</f>
        <v>0</v>
      </c>
      <c r="AK136" t="str" cm="1">
        <f t="array" ref="AK136">IFERROR(_xlfn.TEXTJOIN(",",TRUE,_xlfn.UNIQUE(_xlfn._xlws.FILTER(suivi['#support.traite_manuel],(suivi[[#This Row],['#support.nom]]&lt;&gt;"")*(suivi['#support.nom]=suivi[[#This Row],['#support.nom]])))),"-")</f>
        <v/>
      </c>
    </row>
    <row r="137" spans="1:37" x14ac:dyDescent="0.25">
      <c r="A137" s="1">
        <v>45786</v>
      </c>
      <c r="B137">
        <f>ROW(suivi[[#This Row],['#support.id]])-ROW(suivi[[#Headers],['#support.saison_en_cours]])</f>
        <v>134</v>
      </c>
      <c r="C137" s="7" t="str">
        <f>IF(suivi[[#This Row],['#support.saison]]=saison_en_cours,1,"")</f>
        <v/>
      </c>
      <c r="D137" t="s">
        <v>7</v>
      </c>
      <c r="G137" s="10">
        <v>1</v>
      </c>
      <c r="J137" s="23"/>
      <c r="K137" s="23"/>
      <c r="P137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Bon Jean</v>
      </c>
      <c r="Q137" s="7">
        <f>IF(suivi[[#This Row],['#support.nom]]="","",COUNTIF(suivi['#support.nom],suivi[[#This Row],['#support.nom]]))</f>
        <v>98</v>
      </c>
      <c r="T137" s="1"/>
      <c r="V137" s="4"/>
      <c r="AH137" t="str" cm="1">
        <f t="array" ref="AH137">_xlfn._xlws.FILTER(saisons[nom],(saisons[debut]&lt;=suivi[[#This Row],[date]])*(saisons[fin]&gt;=suivi[[#This Row],[date]]))</f>
        <v>2024-2025</v>
      </c>
      <c r="AI137">
        <f>MIN(COUNTIFS(suivi[entree.categorie],"Evènement",suivi[entree.nom],suivi[[#This Row],[entree.nom]]),1)</f>
        <v>0</v>
      </c>
      <c r="AK137" t="str" cm="1">
        <f t="array" ref="AK137">IFERROR(_xlfn.TEXTJOIN(",",TRUE,_xlfn.UNIQUE(_xlfn._xlws.FILTER(suivi['#support.traite_manuel],(suivi[[#This Row],['#support.nom]]&lt;&gt;"")*(suivi['#support.nom]=suivi[[#This Row],['#support.nom]])))),"-")</f>
        <v/>
      </c>
    </row>
    <row r="138" spans="1:37" x14ac:dyDescent="0.25">
      <c r="A138" s="1">
        <v>45793</v>
      </c>
      <c r="B138">
        <f>ROW(suivi[[#This Row],['#support.id]])-ROW(suivi[[#Headers],['#support.saison_en_cours]])</f>
        <v>135</v>
      </c>
      <c r="C138" s="7" t="str">
        <f>IF(suivi[[#This Row],['#support.saison]]=saison_en_cours,1,"")</f>
        <v/>
      </c>
      <c r="D138" t="s">
        <v>7</v>
      </c>
      <c r="G138" s="10">
        <v>1</v>
      </c>
      <c r="J138" s="23"/>
      <c r="K138" s="23"/>
      <c r="P138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Bon Jean</v>
      </c>
      <c r="Q138" s="7">
        <f>IF(suivi[[#This Row],['#support.nom]]="","",COUNTIF(suivi['#support.nom],suivi[[#This Row],['#support.nom]]))</f>
        <v>98</v>
      </c>
      <c r="T138" s="1"/>
      <c r="V138" s="4"/>
      <c r="AH138" t="str" cm="1">
        <f t="array" ref="AH138">_xlfn._xlws.FILTER(saisons[nom],(saisons[debut]&lt;=suivi[[#This Row],[date]])*(saisons[fin]&gt;=suivi[[#This Row],[date]]))</f>
        <v>2024-2025</v>
      </c>
      <c r="AI138">
        <f>MIN(COUNTIFS(suivi[entree.categorie],"Evènement",suivi[entree.nom],suivi[[#This Row],[entree.nom]]),1)</f>
        <v>0</v>
      </c>
      <c r="AK138" t="str" cm="1">
        <f t="array" ref="AK138">IFERROR(_xlfn.TEXTJOIN(",",TRUE,_xlfn.UNIQUE(_xlfn._xlws.FILTER(suivi['#support.traite_manuel],(suivi[[#This Row],['#support.nom]]&lt;&gt;"")*(suivi['#support.nom]=suivi[[#This Row],['#support.nom]])))),"-")</f>
        <v/>
      </c>
    </row>
    <row r="139" spans="1:37" x14ac:dyDescent="0.25">
      <c r="A139" s="1">
        <v>45793</v>
      </c>
      <c r="B139">
        <f>ROW(suivi[[#This Row],['#support.id]])-ROW(suivi[[#Headers],['#support.saison_en_cours]])</f>
        <v>136</v>
      </c>
      <c r="C139" s="7" t="str">
        <f>IF(suivi[[#This Row],['#support.saison]]=saison_en_cours,1,"")</f>
        <v/>
      </c>
      <c r="D139" t="s">
        <v>7</v>
      </c>
      <c r="G139" s="10">
        <v>2</v>
      </c>
      <c r="J139" s="23"/>
      <c r="K139" s="23"/>
      <c r="P139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Dupont Marie</v>
      </c>
      <c r="Q139" s="7">
        <f>IF(suivi[[#This Row],['#support.nom]]="","",COUNTIF(suivi['#support.nom],suivi[[#This Row],['#support.nom]]))</f>
        <v>30</v>
      </c>
      <c r="T139" s="1"/>
      <c r="V139" s="4"/>
      <c r="AH139" t="str" cm="1">
        <f t="array" ref="AH139">_xlfn._xlws.FILTER(saisons[nom],(saisons[debut]&lt;=suivi[[#This Row],[date]])*(saisons[fin]&gt;=suivi[[#This Row],[date]]))</f>
        <v>2024-2025</v>
      </c>
      <c r="AI139">
        <f>MIN(COUNTIFS(suivi[entree.categorie],"Evènement",suivi[entree.nom],suivi[[#This Row],[entree.nom]]),1)</f>
        <v>0</v>
      </c>
      <c r="AK139" t="str" cm="1">
        <f t="array" ref="AK139">IFERROR(_xlfn.TEXTJOIN(",",TRUE,_xlfn.UNIQUE(_xlfn._xlws.FILTER(suivi['#support.traite_manuel],(suivi[[#This Row],['#support.nom]]&lt;&gt;"")*(suivi['#support.nom]=suivi[[#This Row],['#support.nom]])))),"-")</f>
        <v/>
      </c>
    </row>
    <row r="140" spans="1:37" x14ac:dyDescent="0.25">
      <c r="A140" s="1">
        <v>45807</v>
      </c>
      <c r="B140">
        <f>ROW(suivi[[#This Row],['#support.id]])-ROW(suivi[[#Headers],['#support.saison_en_cours]])</f>
        <v>137</v>
      </c>
      <c r="C140" s="7" t="str">
        <f>IF(suivi[[#This Row],['#support.saison]]=saison_en_cours,1,"")</f>
        <v/>
      </c>
      <c r="D140" t="s">
        <v>7</v>
      </c>
      <c r="G140" s="10">
        <v>1</v>
      </c>
      <c r="J140" s="23"/>
      <c r="K140" s="23"/>
      <c r="P140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Bon Jean</v>
      </c>
      <c r="Q140" s="7">
        <f>IF(suivi[[#This Row],['#support.nom]]="","",COUNTIF(suivi['#support.nom],suivi[[#This Row],['#support.nom]]))</f>
        <v>98</v>
      </c>
      <c r="T140" s="1"/>
      <c r="V140" s="4"/>
      <c r="AH140" t="str" cm="1">
        <f t="array" ref="AH140">_xlfn._xlws.FILTER(saisons[nom],(saisons[debut]&lt;=suivi[[#This Row],[date]])*(saisons[fin]&gt;=suivi[[#This Row],[date]]))</f>
        <v>2024-2025</v>
      </c>
      <c r="AI140">
        <f>MIN(COUNTIFS(suivi[entree.categorie],"Evènement",suivi[entree.nom],suivi[[#This Row],[entree.nom]]),1)</f>
        <v>0</v>
      </c>
      <c r="AK140" t="str" cm="1">
        <f t="array" ref="AK140">IFERROR(_xlfn.TEXTJOIN(",",TRUE,_xlfn.UNIQUE(_xlfn._xlws.FILTER(suivi['#support.traite_manuel],(suivi[[#This Row],['#support.nom]]&lt;&gt;"")*(suivi['#support.nom]=suivi[[#This Row],['#support.nom]])))),"-")</f>
        <v/>
      </c>
    </row>
    <row r="141" spans="1:37" x14ac:dyDescent="0.25">
      <c r="A141" s="1">
        <v>45807</v>
      </c>
      <c r="B141">
        <f>ROW(suivi[[#This Row],['#support.id]])-ROW(suivi[[#Headers],['#support.saison_en_cours]])</f>
        <v>138</v>
      </c>
      <c r="C141" s="7" t="str">
        <f>IF(suivi[[#This Row],['#support.saison]]=saison_en_cours,1,"")</f>
        <v/>
      </c>
      <c r="D141" t="s">
        <v>7</v>
      </c>
      <c r="G141" s="10">
        <v>2</v>
      </c>
      <c r="J141" s="23"/>
      <c r="K141" s="23"/>
      <c r="P141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Dupont Marie</v>
      </c>
      <c r="Q141" s="7">
        <f>IF(suivi[[#This Row],['#support.nom]]="","",COUNTIF(suivi['#support.nom],suivi[[#This Row],['#support.nom]]))</f>
        <v>30</v>
      </c>
      <c r="T141" s="1"/>
      <c r="V141" s="4"/>
      <c r="AH141" t="str" cm="1">
        <f t="array" ref="AH141">_xlfn._xlws.FILTER(saisons[nom],(saisons[debut]&lt;=suivi[[#This Row],[date]])*(saisons[fin]&gt;=suivi[[#This Row],[date]]))</f>
        <v>2024-2025</v>
      </c>
      <c r="AI141">
        <f>MIN(COUNTIFS(suivi[entree.categorie],"Evènement",suivi[entree.nom],suivi[[#This Row],[entree.nom]]),1)</f>
        <v>0</v>
      </c>
      <c r="AK141" t="str" cm="1">
        <f t="array" ref="AK141">IFERROR(_xlfn.TEXTJOIN(",",TRUE,_xlfn.UNIQUE(_xlfn._xlws.FILTER(suivi['#support.traite_manuel],(suivi[[#This Row],['#support.nom]]&lt;&gt;"")*(suivi['#support.nom]=suivi[[#This Row],['#support.nom]])))),"-")</f>
        <v/>
      </c>
    </row>
    <row r="142" spans="1:37" x14ac:dyDescent="0.25">
      <c r="A142" s="1">
        <v>45814</v>
      </c>
      <c r="B142">
        <f>ROW(suivi[[#This Row],['#support.id]])-ROW(suivi[[#Headers],['#support.saison_en_cours]])</f>
        <v>139</v>
      </c>
      <c r="C142" s="7" t="str">
        <f>IF(suivi[[#This Row],['#support.saison]]=saison_en_cours,1,"")</f>
        <v/>
      </c>
      <c r="D142" t="s">
        <v>7</v>
      </c>
      <c r="G142" s="10">
        <v>1</v>
      </c>
      <c r="J142" s="23"/>
      <c r="K142" s="23"/>
      <c r="P142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Bon Jean</v>
      </c>
      <c r="Q142" s="7">
        <f>IF(suivi[[#This Row],['#support.nom]]="","",COUNTIF(suivi['#support.nom],suivi[[#This Row],['#support.nom]]))</f>
        <v>98</v>
      </c>
      <c r="T142" s="1"/>
      <c r="V142" s="4"/>
      <c r="AH142" t="str" cm="1">
        <f t="array" ref="AH142">_xlfn._xlws.FILTER(saisons[nom],(saisons[debut]&lt;=suivi[[#This Row],[date]])*(saisons[fin]&gt;=suivi[[#This Row],[date]]))</f>
        <v>2024-2025</v>
      </c>
      <c r="AI142">
        <f>MIN(COUNTIFS(suivi[entree.categorie],"Evènement",suivi[entree.nom],suivi[[#This Row],[entree.nom]]),1)</f>
        <v>0</v>
      </c>
      <c r="AK142" t="str" cm="1">
        <f t="array" ref="AK142">IFERROR(_xlfn.TEXTJOIN(",",TRUE,_xlfn.UNIQUE(_xlfn._xlws.FILTER(suivi['#support.traite_manuel],(suivi[[#This Row],['#support.nom]]&lt;&gt;"")*(suivi['#support.nom]=suivi[[#This Row],['#support.nom]])))),"-")</f>
        <v/>
      </c>
    </row>
    <row r="143" spans="1:37" x14ac:dyDescent="0.25">
      <c r="A143" s="1">
        <v>45821</v>
      </c>
      <c r="B143">
        <f>ROW(suivi[[#This Row],['#support.id]])-ROW(suivi[[#Headers],['#support.saison_en_cours]])</f>
        <v>140</v>
      </c>
      <c r="C143" s="7" t="str">
        <f>IF(suivi[[#This Row],['#support.saison]]=saison_en_cours,1,"")</f>
        <v/>
      </c>
      <c r="D143" t="s">
        <v>7</v>
      </c>
      <c r="G143" s="10">
        <v>1</v>
      </c>
      <c r="J143" s="23"/>
      <c r="K143" s="23"/>
      <c r="P143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Bon Jean</v>
      </c>
      <c r="Q143" s="7">
        <f>IF(suivi[[#This Row],['#support.nom]]="","",COUNTIF(suivi['#support.nom],suivi[[#This Row],['#support.nom]]))</f>
        <v>98</v>
      </c>
      <c r="T143" s="1"/>
      <c r="V143" s="4"/>
      <c r="AH143" t="str" cm="1">
        <f t="array" ref="AH143">_xlfn._xlws.FILTER(saisons[nom],(saisons[debut]&lt;=suivi[[#This Row],[date]])*(saisons[fin]&gt;=suivi[[#This Row],[date]]))</f>
        <v>2024-2025</v>
      </c>
      <c r="AI143">
        <f>MIN(COUNTIFS(suivi[entree.categorie],"Evènement",suivi[entree.nom],suivi[[#This Row],[entree.nom]]),1)</f>
        <v>0</v>
      </c>
      <c r="AK143" t="str" cm="1">
        <f t="array" ref="AK143">IFERROR(_xlfn.TEXTJOIN(",",TRUE,_xlfn.UNIQUE(_xlfn._xlws.FILTER(suivi['#support.traite_manuel],(suivi[[#This Row],['#support.nom]]&lt;&gt;"")*(suivi['#support.nom]=suivi[[#This Row],['#support.nom]])))),"-")</f>
        <v/>
      </c>
    </row>
    <row r="144" spans="1:37" x14ac:dyDescent="0.25">
      <c r="A144" s="1">
        <v>45828</v>
      </c>
      <c r="B144">
        <f>ROW(suivi[[#This Row],['#support.id]])-ROW(suivi[[#Headers],['#support.saison_en_cours]])</f>
        <v>141</v>
      </c>
      <c r="C144" s="7" t="str">
        <f>IF(suivi[[#This Row],['#support.saison]]=saison_en_cours,1,"")</f>
        <v/>
      </c>
      <c r="D144" t="s">
        <v>7</v>
      </c>
      <c r="G144" s="10">
        <v>1</v>
      </c>
      <c r="J144" s="23"/>
      <c r="K144" s="23"/>
      <c r="P144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Bon Jean</v>
      </c>
      <c r="Q144" s="7">
        <f>IF(suivi[[#This Row],['#support.nom]]="","",COUNTIF(suivi['#support.nom],suivi[[#This Row],['#support.nom]]))</f>
        <v>98</v>
      </c>
      <c r="T144" s="1"/>
      <c r="V144" s="4"/>
      <c r="AH144" t="str" cm="1">
        <f t="array" ref="AH144">_xlfn._xlws.FILTER(saisons[nom],(saisons[debut]&lt;=suivi[[#This Row],[date]])*(saisons[fin]&gt;=suivi[[#This Row],[date]]))</f>
        <v>2024-2025</v>
      </c>
      <c r="AI144">
        <f>MIN(COUNTIFS(suivi[entree.categorie],"Evènement",suivi[entree.nom],suivi[[#This Row],[entree.nom]]),1)</f>
        <v>0</v>
      </c>
      <c r="AK144" t="str" cm="1">
        <f t="array" ref="AK144">IFERROR(_xlfn.TEXTJOIN(",",TRUE,_xlfn.UNIQUE(_xlfn._xlws.FILTER(suivi['#support.traite_manuel],(suivi[[#This Row],['#support.nom]]&lt;&gt;"")*(suivi['#support.nom]=suivi[[#This Row],['#support.nom]])))),"-")</f>
        <v/>
      </c>
    </row>
    <row r="145" spans="1:37" x14ac:dyDescent="0.25">
      <c r="A145" s="1">
        <v>45835</v>
      </c>
      <c r="B145">
        <f>ROW(suivi[[#This Row],['#support.id]])-ROW(suivi[[#Headers],['#support.saison_en_cours]])</f>
        <v>142</v>
      </c>
      <c r="C145" s="7" t="str">
        <f>IF(suivi[[#This Row],['#support.saison]]=saison_en_cours,1,"")</f>
        <v/>
      </c>
      <c r="D145" t="s">
        <v>7</v>
      </c>
      <c r="E145" t="s">
        <v>166</v>
      </c>
      <c r="F145" t="s">
        <v>167</v>
      </c>
      <c r="G145" s="10">
        <v>1</v>
      </c>
      <c r="J145" s="23"/>
      <c r="K145" s="23"/>
      <c r="P145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Bon Jean</v>
      </c>
      <c r="Q145" s="7">
        <f>IF(suivi[[#This Row],['#support.nom]]="","",COUNTIF(suivi['#support.nom],suivi[[#This Row],['#support.nom]]))</f>
        <v>98</v>
      </c>
      <c r="T145" s="1"/>
      <c r="V145" s="4"/>
      <c r="AH145" t="str" cm="1">
        <f t="array" ref="AH145">_xlfn._xlws.FILTER(saisons[nom],(saisons[debut]&lt;=suivi[[#This Row],[date]])*(saisons[fin]&gt;=suivi[[#This Row],[date]]))</f>
        <v>2024-2025</v>
      </c>
      <c r="AI145">
        <f>MIN(COUNTIFS(suivi[entree.categorie],"Evènement",suivi[entree.nom],suivi[[#This Row],[entree.nom]]),1)</f>
        <v>1</v>
      </c>
      <c r="AK145" t="str" cm="1">
        <f t="array" ref="AK145">IFERROR(_xlfn.TEXTJOIN(",",TRUE,_xlfn.UNIQUE(_xlfn._xlws.FILTER(suivi['#support.traite_manuel],(suivi[[#This Row],['#support.nom]]&lt;&gt;"")*(suivi['#support.nom]=suivi[[#This Row],['#support.nom]])))),"-")</f>
        <v/>
      </c>
    </row>
    <row r="146" spans="1:37" x14ac:dyDescent="0.25">
      <c r="A146" s="1">
        <v>45835</v>
      </c>
      <c r="B146">
        <f>ROW(suivi[[#This Row],['#support.id]])-ROW(suivi[[#Headers],['#support.saison_en_cours]])</f>
        <v>143</v>
      </c>
      <c r="C146" s="7" t="str">
        <f>IF(suivi[[#This Row],['#support.saison]]=saison_en_cours,1,"")</f>
        <v/>
      </c>
      <c r="D146" t="s">
        <v>0</v>
      </c>
      <c r="E146" t="s">
        <v>166</v>
      </c>
      <c r="F146" t="s">
        <v>172</v>
      </c>
      <c r="G146" s="10">
        <v>2</v>
      </c>
      <c r="J146" s="23"/>
      <c r="K146" s="23"/>
      <c r="P146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Dupont Marie</v>
      </c>
      <c r="Q146" s="7">
        <f>IF(suivi[[#This Row],['#support.nom]]="","",COUNTIF(suivi['#support.nom],suivi[[#This Row],['#support.nom]]))</f>
        <v>30</v>
      </c>
      <c r="T146" s="1"/>
      <c r="V146" s="4"/>
      <c r="AH146" t="str" cm="1">
        <f t="array" ref="AH146">_xlfn._xlws.FILTER(saisons[nom],(saisons[debut]&lt;=suivi[[#This Row],[date]])*(saisons[fin]&gt;=suivi[[#This Row],[date]]))</f>
        <v>2024-2025</v>
      </c>
      <c r="AI146">
        <f>MIN(COUNTIFS(suivi[entree.categorie],"Evènement",suivi[entree.nom],suivi[[#This Row],[entree.nom]]),1)</f>
        <v>1</v>
      </c>
      <c r="AK146" t="str" cm="1">
        <f t="array" ref="AK146">IFERROR(_xlfn.TEXTJOIN(",",TRUE,_xlfn.UNIQUE(_xlfn._xlws.FILTER(suivi['#support.traite_manuel],(suivi[[#This Row],['#support.nom]]&lt;&gt;"")*(suivi['#support.nom]=suivi[[#This Row],['#support.nom]])))),"-")</f>
        <v/>
      </c>
    </row>
    <row r="147" spans="1:37" x14ac:dyDescent="0.25">
      <c r="A147" s="1">
        <v>45835</v>
      </c>
      <c r="B147">
        <f>ROW(suivi[[#This Row],['#support.id]])-ROW(suivi[[#Headers],['#support.saison_en_cours]])</f>
        <v>144</v>
      </c>
      <c r="C147" s="7" t="str">
        <f>IF(suivi[[#This Row],['#support.saison]]=saison_en_cours,1,"")</f>
        <v/>
      </c>
      <c r="D147" t="s">
        <v>0</v>
      </c>
      <c r="E147" t="s">
        <v>166</v>
      </c>
      <c r="G147" s="10"/>
      <c r="J147" s="23"/>
      <c r="K147" s="23"/>
      <c r="P147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[suivi] Evènement_Assemblée Générale 2025_144</v>
      </c>
      <c r="Q147" s="7">
        <f>IF(suivi[[#This Row],['#support.nom]]="","",COUNTIF(suivi['#support.nom],suivi[[#This Row],['#support.nom]]))</f>
        <v>1</v>
      </c>
      <c r="T147" s="1"/>
      <c r="V147" s="4"/>
      <c r="AH147" t="str" cm="1">
        <f t="array" ref="AH147">_xlfn._xlws.FILTER(saisons[nom],(saisons[debut]&lt;=suivi[[#This Row],[date]])*(saisons[fin]&gt;=suivi[[#This Row],[date]]))</f>
        <v>2024-2025</v>
      </c>
      <c r="AI147">
        <f>MIN(COUNTIFS(suivi[entree.categorie],"Evènement",suivi[entree.nom],suivi[[#This Row],[entree.nom]]),1)</f>
        <v>1</v>
      </c>
      <c r="AK147" t="str" cm="1">
        <f t="array" ref="AK147">IFERROR(_xlfn.TEXTJOIN(",",TRUE,_xlfn.UNIQUE(_xlfn._xlws.FILTER(suivi['#support.traite_manuel],(suivi[[#This Row],['#support.nom]]&lt;&gt;"")*(suivi['#support.nom]=suivi[[#This Row],['#support.nom]])))),"-")</f>
        <v/>
      </c>
    </row>
    <row r="148" spans="1:37" x14ac:dyDescent="0.25">
      <c r="A148" s="1">
        <v>45835</v>
      </c>
      <c r="B148">
        <f>ROW(suivi[[#This Row],['#support.id]])-ROW(suivi[[#Headers],['#support.saison_en_cours]])</f>
        <v>145</v>
      </c>
      <c r="C148" s="7" t="str">
        <f>IF(suivi[[#This Row],['#support.saison]]=saison_en_cours,1,"")</f>
        <v/>
      </c>
      <c r="D148" t="s">
        <v>0</v>
      </c>
      <c r="E148" t="s">
        <v>166</v>
      </c>
      <c r="F148" t="s">
        <v>191</v>
      </c>
      <c r="G148" s="10"/>
      <c r="I148" t="s">
        <v>80</v>
      </c>
      <c r="J148" s="23"/>
      <c r="K148" s="23">
        <v>-20.52</v>
      </c>
      <c r="P148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[suivi] Evènement_Assemblée Générale 2025_Achat pour pot - Fabien_145</v>
      </c>
      <c r="Q148" s="7">
        <f>IF(suivi[[#This Row],['#support.nom]]="","",COUNTIF(suivi['#support.nom],suivi[[#This Row],['#support.nom]]))</f>
        <v>1</v>
      </c>
      <c r="T148" s="1"/>
      <c r="V148" s="4"/>
      <c r="AH148" t="str" cm="1">
        <f t="array" ref="AH148">_xlfn._xlws.FILTER(saisons[nom],(saisons[debut]&lt;=suivi[[#This Row],[date]])*(saisons[fin]&gt;=suivi[[#This Row],[date]]))</f>
        <v>2024-2025</v>
      </c>
      <c r="AI148">
        <f>MIN(COUNTIFS(suivi[entree.categorie],"Evènement",suivi[entree.nom],suivi[[#This Row],[entree.nom]]),1)</f>
        <v>1</v>
      </c>
      <c r="AK148" t="str" cm="1">
        <f t="array" ref="AK148">IFERROR(_xlfn.TEXTJOIN(",",TRUE,_xlfn.UNIQUE(_xlfn._xlws.FILTER(suivi['#support.traite_manuel],(suivi[[#This Row],['#support.nom]]&lt;&gt;"")*(suivi['#support.nom]=suivi[[#This Row],['#support.nom]])))),"-")</f>
        <v/>
      </c>
    </row>
    <row r="149" spans="1:37" x14ac:dyDescent="0.25">
      <c r="A149" s="1">
        <v>45835</v>
      </c>
      <c r="B149">
        <f>ROW(suivi[[#This Row],['#support.id]])-ROW(suivi[[#Headers],['#support.saison_en_cours]])</f>
        <v>146</v>
      </c>
      <c r="C149" s="7" t="str">
        <f>IF(suivi[[#This Row],['#support.saison]]=saison_en_cours,1,"")</f>
        <v/>
      </c>
      <c r="D149" t="s">
        <v>0</v>
      </c>
      <c r="E149" t="s">
        <v>166</v>
      </c>
      <c r="F149" t="s">
        <v>192</v>
      </c>
      <c r="G149" s="10"/>
      <c r="I149" t="s">
        <v>80</v>
      </c>
      <c r="J149" s="23"/>
      <c r="K149" s="23">
        <v>-69.539999999999992</v>
      </c>
      <c r="P149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[suivi] Evènement_Assemblée Générale 2025_Achat pour pot - Nicolas_146</v>
      </c>
      <c r="Q149" s="7">
        <f>IF(suivi[[#This Row],['#support.nom]]="","",COUNTIF(suivi['#support.nom],suivi[[#This Row],['#support.nom]]))</f>
        <v>1</v>
      </c>
      <c r="T149" s="1"/>
      <c r="V149" s="4"/>
      <c r="AH149" t="str" cm="1">
        <f t="array" ref="AH149">_xlfn._xlws.FILTER(saisons[nom],(saisons[debut]&lt;=suivi[[#This Row],[date]])*(saisons[fin]&gt;=suivi[[#This Row],[date]]))</f>
        <v>2024-2025</v>
      </c>
      <c r="AI149">
        <f>MIN(COUNTIFS(suivi[entree.categorie],"Evènement",suivi[entree.nom],suivi[[#This Row],[entree.nom]]),1)</f>
        <v>1</v>
      </c>
      <c r="AK149" t="str" cm="1">
        <f t="array" ref="AK149">IFERROR(_xlfn.TEXTJOIN(",",TRUE,_xlfn.UNIQUE(_xlfn._xlws.FILTER(suivi['#support.traite_manuel],(suivi[[#This Row],['#support.nom]]&lt;&gt;"")*(suivi['#support.nom]=suivi[[#This Row],['#support.nom]])))),"-")</f>
        <v/>
      </c>
    </row>
    <row r="150" spans="1:37" x14ac:dyDescent="0.25">
      <c r="A150" s="1">
        <v>45842</v>
      </c>
      <c r="B150">
        <f>ROW(suivi[[#This Row],['#support.id]])-ROW(suivi[[#Headers],['#support.saison_en_cours]])</f>
        <v>147</v>
      </c>
      <c r="C150" s="7" t="str">
        <f>IF(suivi[[#This Row],['#support.saison]]=saison_en_cours,1,"")</f>
        <v/>
      </c>
      <c r="D150" t="s">
        <v>7</v>
      </c>
      <c r="G150" s="10">
        <v>2</v>
      </c>
      <c r="J150" s="23"/>
      <c r="K150" s="23"/>
      <c r="P150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Dupont Marie</v>
      </c>
      <c r="Q150" s="7">
        <f>IF(suivi[[#This Row],['#support.nom]]="","",COUNTIF(suivi['#support.nom],suivi[[#This Row],['#support.nom]]))</f>
        <v>30</v>
      </c>
      <c r="T150" s="1"/>
      <c r="V150" s="4"/>
      <c r="AH150" t="str" cm="1">
        <f t="array" ref="AH150">_xlfn._xlws.FILTER(saisons[nom],(saisons[debut]&lt;=suivi[[#This Row],[date]])*(saisons[fin]&gt;=suivi[[#This Row],[date]]))</f>
        <v>2024-2025</v>
      </c>
      <c r="AI150">
        <f>MIN(COUNTIFS(suivi[entree.categorie],"Evènement",suivi[entree.nom],suivi[[#This Row],[entree.nom]]),1)</f>
        <v>0</v>
      </c>
      <c r="AK150" t="str" cm="1">
        <f t="array" ref="AK150">IFERROR(_xlfn.TEXTJOIN(",",TRUE,_xlfn.UNIQUE(_xlfn._xlws.FILTER(suivi['#support.traite_manuel],(suivi[[#This Row],['#support.nom]]&lt;&gt;"")*(suivi['#support.nom]=suivi[[#This Row],['#support.nom]])))),"-")</f>
        <v/>
      </c>
    </row>
    <row r="151" spans="1:37" x14ac:dyDescent="0.25">
      <c r="A151" s="1">
        <v>45901</v>
      </c>
      <c r="B151">
        <f>ROW(suivi[[#This Row],['#support.id]])-ROW(suivi[[#Headers],['#support.saison_en_cours]])</f>
        <v>148</v>
      </c>
      <c r="C151" s="7">
        <f>IF(suivi[[#This Row],['#support.saison]]=saison_en_cours,1,"")</f>
        <v>1</v>
      </c>
      <c r="D151" t="s">
        <v>81</v>
      </c>
      <c r="G151" s="10">
        <v>1</v>
      </c>
      <c r="H151" t="s">
        <v>23</v>
      </c>
      <c r="J151" s="23"/>
      <c r="K151" s="23"/>
      <c r="O151" t="s">
        <v>174</v>
      </c>
      <c r="P151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Bon Jean</v>
      </c>
      <c r="Q151" s="7">
        <f>IF(suivi[[#This Row],['#support.nom]]="","",COUNTIF(suivi['#support.nom],suivi[[#This Row],['#support.nom]]))</f>
        <v>98</v>
      </c>
      <c r="T151" s="1"/>
      <c r="V151" s="4"/>
      <c r="AH151" t="str" cm="1">
        <f t="array" ref="AH151">_xlfn._xlws.FILTER(saisons[nom],(saisons[debut]&lt;=suivi[[#This Row],[date]])*(saisons[fin]&gt;=suivi[[#This Row],[date]]))</f>
        <v>2025-2026</v>
      </c>
      <c r="AI151">
        <f>MIN(COUNTIFS(suivi[entree.categorie],"Evènement",suivi[entree.nom],suivi[[#This Row],[entree.nom]]),1)</f>
        <v>0</v>
      </c>
      <c r="AK151" t="str" cm="1">
        <f t="array" ref="AK151">IFERROR(_xlfn.TEXTJOIN(",",TRUE,_xlfn.UNIQUE(_xlfn._xlws.FILTER(suivi['#support.traite_manuel],(suivi[[#This Row],['#support.nom]]&lt;&gt;"")*(suivi['#support.nom]=suivi[[#This Row],['#support.nom]])))),"-")</f>
        <v/>
      </c>
    </row>
    <row r="152" spans="1:37" x14ac:dyDescent="0.25">
      <c r="A152" s="1">
        <v>45905</v>
      </c>
      <c r="B152">
        <f>ROW(suivi[[#This Row],['#support.id]])-ROW(suivi[[#Headers],['#support.saison_en_cours]])</f>
        <v>149</v>
      </c>
      <c r="C152" s="7">
        <f>IF(suivi[[#This Row],['#support.saison]]=saison_en_cours,1,"")</f>
        <v>1</v>
      </c>
      <c r="D152" t="s">
        <v>7</v>
      </c>
      <c r="G152" s="10">
        <v>1</v>
      </c>
      <c r="J152" s="23"/>
      <c r="K152" s="23"/>
      <c r="P152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Bon Jean</v>
      </c>
      <c r="Q152" s="7">
        <f>IF(suivi[[#This Row],['#support.nom]]="","",COUNTIF(suivi['#support.nom],suivi[[#This Row],['#support.nom]]))</f>
        <v>98</v>
      </c>
      <c r="T152" s="1"/>
      <c r="V152" s="4"/>
      <c r="AH152" t="str" cm="1">
        <f t="array" ref="AH152">_xlfn._xlws.FILTER(saisons[nom],(saisons[debut]&lt;=suivi[[#This Row],[date]])*(saisons[fin]&gt;=suivi[[#This Row],[date]]))</f>
        <v>2025-2026</v>
      </c>
      <c r="AI152">
        <f>MIN(COUNTIFS(suivi[entree.categorie],"Evènement",suivi[entree.nom],suivi[[#This Row],[entree.nom]]),1)</f>
        <v>0</v>
      </c>
      <c r="AK152" t="str" cm="1">
        <f t="array" ref="AK152">IFERROR(_xlfn.TEXTJOIN(",",TRUE,_xlfn.UNIQUE(_xlfn._xlws.FILTER(suivi['#support.traite_manuel],(suivi[[#This Row],['#support.nom]]&lt;&gt;"")*(suivi['#support.nom]=suivi[[#This Row],['#support.nom]])))),"-")</f>
        <v/>
      </c>
    </row>
    <row r="153" spans="1:37" x14ac:dyDescent="0.25">
      <c r="A153" s="1">
        <v>45905</v>
      </c>
      <c r="B153">
        <f>ROW(suivi[[#This Row],['#support.id]])-ROW(suivi[[#Headers],['#support.saison_en_cours]])</f>
        <v>150</v>
      </c>
      <c r="C153" s="7">
        <f>IF(suivi[[#This Row],['#support.saison]]=saison_en_cours,1,"")</f>
        <v>1</v>
      </c>
      <c r="D153" t="s">
        <v>6</v>
      </c>
      <c r="E153" t="s">
        <v>92</v>
      </c>
      <c r="G153" s="10">
        <v>2</v>
      </c>
      <c r="I153" t="s">
        <v>80</v>
      </c>
      <c r="J153" s="23">
        <v>15</v>
      </c>
      <c r="K153" s="23"/>
      <c r="M153" t="s">
        <v>113</v>
      </c>
      <c r="P153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Dupont Marie</v>
      </c>
      <c r="Q153" s="7">
        <f>IF(suivi[[#This Row],['#support.nom]]="","",COUNTIF(suivi['#support.nom],suivi[[#This Row],['#support.nom]]))</f>
        <v>30</v>
      </c>
      <c r="T153" s="1"/>
      <c r="V153" s="4"/>
      <c r="AH153" t="str" cm="1">
        <f t="array" ref="AH153">_xlfn._xlws.FILTER(saisons[nom],(saisons[debut]&lt;=suivi[[#This Row],[date]])*(saisons[fin]&gt;=suivi[[#This Row],[date]]))</f>
        <v>2025-2026</v>
      </c>
      <c r="AI153">
        <f>MIN(COUNTIFS(suivi[entree.categorie],"Evènement",suivi[entree.nom],suivi[[#This Row],[entree.nom]]),1)</f>
        <v>0</v>
      </c>
      <c r="AK153" t="str" cm="1">
        <f t="array" ref="AK153">IFERROR(_xlfn.TEXTJOIN(",",TRUE,_xlfn.UNIQUE(_xlfn._xlws.FILTER(suivi['#support.traite_manuel],(suivi[[#This Row],['#support.nom]]&lt;&gt;"")*(suivi['#support.nom]=suivi[[#This Row],['#support.nom]])))),"-")</f>
        <v/>
      </c>
    </row>
    <row r="154" spans="1:37" x14ac:dyDescent="0.25">
      <c r="A154" s="1">
        <v>45905</v>
      </c>
      <c r="B154">
        <f>ROW(suivi[[#This Row],['#support.id]])-ROW(suivi[[#Headers],['#support.saison_en_cours]])</f>
        <v>151</v>
      </c>
      <c r="C154" s="7">
        <f>IF(suivi[[#This Row],['#support.saison]]=saison_en_cours,1,"")</f>
        <v>1</v>
      </c>
      <c r="D154" t="s">
        <v>7</v>
      </c>
      <c r="G154" s="10">
        <v>2</v>
      </c>
      <c r="J154" s="23"/>
      <c r="K154" s="23"/>
      <c r="P154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Dupont Marie</v>
      </c>
      <c r="Q154" s="7">
        <f>IF(suivi[[#This Row],['#support.nom]]="","",COUNTIF(suivi['#support.nom],suivi[[#This Row],['#support.nom]]))</f>
        <v>30</v>
      </c>
      <c r="T154" s="1"/>
      <c r="V154" s="4"/>
      <c r="AH154" t="str" cm="1">
        <f t="array" ref="AH154">_xlfn._xlws.FILTER(saisons[nom],(saisons[debut]&lt;=suivi[[#This Row],[date]])*(saisons[fin]&gt;=suivi[[#This Row],[date]]))</f>
        <v>2025-2026</v>
      </c>
      <c r="AI154">
        <f>MIN(COUNTIFS(suivi[entree.categorie],"Evènement",suivi[entree.nom],suivi[[#This Row],[entree.nom]]),1)</f>
        <v>0</v>
      </c>
      <c r="AK154" t="str" cm="1">
        <f t="array" ref="AK154">IFERROR(_xlfn.TEXTJOIN(",",TRUE,_xlfn.UNIQUE(_xlfn._xlws.FILTER(suivi['#support.traite_manuel],(suivi[[#This Row],['#support.nom]]&lt;&gt;"")*(suivi['#support.nom]=suivi[[#This Row],['#support.nom]])))),"-")</f>
        <v/>
      </c>
    </row>
    <row r="155" spans="1:37" x14ac:dyDescent="0.25">
      <c r="A155" s="1">
        <v>45907</v>
      </c>
      <c r="B155">
        <f>ROW(suivi[[#This Row],['#support.id]])-ROW(suivi[[#Headers],['#support.saison_en_cours]])</f>
        <v>152</v>
      </c>
      <c r="C155" s="7">
        <f>IF(suivi[[#This Row],['#support.saison]]=saison_en_cours,1,"")</f>
        <v>1</v>
      </c>
      <c r="D155" t="s">
        <v>0</v>
      </c>
      <c r="E155" t="s">
        <v>193</v>
      </c>
      <c r="G155" s="10"/>
      <c r="J155" s="23"/>
      <c r="K155" s="23"/>
      <c r="P155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[suivi] Evènement_Forum associations 2025_152</v>
      </c>
      <c r="Q155" s="7">
        <f>IF(suivi[[#This Row],['#support.nom]]="","",COUNTIF(suivi['#support.nom],suivi[[#This Row],['#support.nom]]))</f>
        <v>1</v>
      </c>
      <c r="T155" s="1"/>
      <c r="V155" s="4"/>
      <c r="AH155" t="str" cm="1">
        <f t="array" ref="AH155">_xlfn._xlws.FILTER(saisons[nom],(saisons[debut]&lt;=suivi[[#This Row],[date]])*(saisons[fin]&gt;=suivi[[#This Row],[date]]))</f>
        <v>2025-2026</v>
      </c>
      <c r="AI155">
        <f>MIN(COUNTIFS(suivi[entree.categorie],"Evènement",suivi[entree.nom],suivi[[#This Row],[entree.nom]]),1)</f>
        <v>1</v>
      </c>
      <c r="AK155" t="str" cm="1">
        <f t="array" ref="AK155">IFERROR(_xlfn.TEXTJOIN(",",TRUE,_xlfn.UNIQUE(_xlfn._xlws.FILTER(suivi['#support.traite_manuel],(suivi[[#This Row],['#support.nom]]&lt;&gt;"")*(suivi['#support.nom]=suivi[[#This Row],['#support.nom]])))),"-")</f>
        <v/>
      </c>
    </row>
    <row r="156" spans="1:37" x14ac:dyDescent="0.25">
      <c r="A156" s="1">
        <v>45912</v>
      </c>
      <c r="B156">
        <f>ROW(suivi[[#This Row],['#support.id]])-ROW(suivi[[#Headers],['#support.saison_en_cours]])</f>
        <v>153</v>
      </c>
      <c r="C156" s="7">
        <f>IF(suivi[[#This Row],['#support.saison]]=saison_en_cours,1,"")</f>
        <v>1</v>
      </c>
      <c r="D156" t="s">
        <v>7</v>
      </c>
      <c r="G156" s="10">
        <v>1</v>
      </c>
      <c r="J156" s="23"/>
      <c r="K156" s="23"/>
      <c r="P156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Bon Jean</v>
      </c>
      <c r="Q156" s="7">
        <f>IF(suivi[[#This Row],['#support.nom]]="","",COUNTIF(suivi['#support.nom],suivi[[#This Row],['#support.nom]]))</f>
        <v>98</v>
      </c>
      <c r="T156" s="1"/>
      <c r="V156" s="4"/>
      <c r="AH156" t="str" cm="1">
        <f t="array" ref="AH156">_xlfn._xlws.FILTER(saisons[nom],(saisons[debut]&lt;=suivi[[#This Row],[date]])*(saisons[fin]&gt;=suivi[[#This Row],[date]]))</f>
        <v>2025-2026</v>
      </c>
      <c r="AI156">
        <f>MIN(COUNTIFS(suivi[entree.categorie],"Evènement",suivi[entree.nom],suivi[[#This Row],[entree.nom]]),1)</f>
        <v>0</v>
      </c>
      <c r="AK156" t="str" cm="1">
        <f t="array" ref="AK156">IFERROR(_xlfn.TEXTJOIN(",",TRUE,_xlfn.UNIQUE(_xlfn._xlws.FILTER(suivi['#support.traite_manuel],(suivi[[#This Row],['#support.nom]]&lt;&gt;"")*(suivi['#support.nom]=suivi[[#This Row],['#support.nom]])))),"-")</f>
        <v/>
      </c>
    </row>
    <row r="157" spans="1:37" x14ac:dyDescent="0.25">
      <c r="A157" s="1">
        <v>45913</v>
      </c>
      <c r="B157">
        <f>ROW(suivi[[#This Row],['#support.id]])-ROW(suivi[[#Headers],['#support.saison_en_cours]])</f>
        <v>154</v>
      </c>
      <c r="C157" s="7">
        <f>IF(suivi[[#This Row],['#support.saison]]=saison_en_cours,1,"")</f>
        <v>1</v>
      </c>
      <c r="D157" t="s">
        <v>6</v>
      </c>
      <c r="E157" t="s">
        <v>92</v>
      </c>
      <c r="G157" s="10">
        <v>1</v>
      </c>
      <c r="I157" t="s">
        <v>5</v>
      </c>
      <c r="J157" s="23">
        <v>15</v>
      </c>
      <c r="K157" s="23"/>
      <c r="M157" t="s">
        <v>113</v>
      </c>
      <c r="N157" t="s">
        <v>176</v>
      </c>
      <c r="P157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Bon Jean</v>
      </c>
      <c r="Q157" s="7">
        <f>IF(suivi[[#This Row],['#support.nom]]="","",COUNTIF(suivi['#support.nom],suivi[[#This Row],['#support.nom]]))</f>
        <v>98</v>
      </c>
      <c r="T157" s="1"/>
      <c r="V157" s="4"/>
      <c r="AH157" t="str" cm="1">
        <f t="array" ref="AH157">_xlfn._xlws.FILTER(saisons[nom],(saisons[debut]&lt;=suivi[[#This Row],[date]])*(saisons[fin]&gt;=suivi[[#This Row],[date]]))</f>
        <v>2025-2026</v>
      </c>
      <c r="AI157">
        <f>MIN(COUNTIFS(suivi[entree.categorie],"Evènement",suivi[entree.nom],suivi[[#This Row],[entree.nom]]),1)</f>
        <v>0</v>
      </c>
      <c r="AK157" t="str" cm="1">
        <f t="array" ref="AK157">IFERROR(_xlfn.TEXTJOIN(",",TRUE,_xlfn.UNIQUE(_xlfn._xlws.FILTER(suivi['#support.traite_manuel],(suivi[[#This Row],['#support.nom]]&lt;&gt;"")*(suivi['#support.nom]=suivi[[#This Row],['#support.nom]])))),"-")</f>
        <v/>
      </c>
    </row>
    <row r="158" spans="1:37" x14ac:dyDescent="0.25">
      <c r="A158" s="1">
        <v>45919</v>
      </c>
      <c r="B158">
        <f>ROW(suivi[[#This Row],['#support.id]])-ROW(suivi[[#Headers],['#support.saison_en_cours]])</f>
        <v>155</v>
      </c>
      <c r="C158" s="7">
        <f>IF(suivi[[#This Row],['#support.saison]]=saison_en_cours,1,"")</f>
        <v>1</v>
      </c>
      <c r="D158" t="s">
        <v>7</v>
      </c>
      <c r="G158" s="10">
        <v>1</v>
      </c>
      <c r="J158" s="23"/>
      <c r="K158" s="23"/>
      <c r="P158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Bon Jean</v>
      </c>
      <c r="Q158" s="7">
        <f>IF(suivi[[#This Row],['#support.nom]]="","",COUNTIF(suivi['#support.nom],suivi[[#This Row],['#support.nom]]))</f>
        <v>98</v>
      </c>
      <c r="T158" s="1"/>
      <c r="V158" s="4"/>
      <c r="AH158" t="str" cm="1">
        <f t="array" ref="AH158">_xlfn._xlws.FILTER(saisons[nom],(saisons[debut]&lt;=suivi[[#This Row],[date]])*(saisons[fin]&gt;=suivi[[#This Row],[date]]))</f>
        <v>2025-2026</v>
      </c>
      <c r="AI158">
        <f>MIN(COUNTIFS(suivi[entree.categorie],"Evènement",suivi[entree.nom],suivi[[#This Row],[entree.nom]]),1)</f>
        <v>0</v>
      </c>
      <c r="AK158" t="str" cm="1">
        <f t="array" ref="AK158">IFERROR(_xlfn.TEXTJOIN(",",TRUE,_xlfn.UNIQUE(_xlfn._xlws.FILTER(suivi['#support.traite_manuel],(suivi[[#This Row],['#support.nom]]&lt;&gt;"")*(suivi['#support.nom]=suivi[[#This Row],['#support.nom]])))),"-")</f>
        <v/>
      </c>
    </row>
    <row r="159" spans="1:37" x14ac:dyDescent="0.25">
      <c r="A159" s="1">
        <v>45919</v>
      </c>
      <c r="B159">
        <f>ROW(suivi[[#This Row],['#support.id]])-ROW(suivi[[#Headers],['#support.saison_en_cours]])</f>
        <v>156</v>
      </c>
      <c r="C159" s="7">
        <f>IF(suivi[[#This Row],['#support.saison]]=saison_en_cours,1,"")</f>
        <v>1</v>
      </c>
      <c r="D159" t="s">
        <v>7</v>
      </c>
      <c r="G159" s="10">
        <v>2</v>
      </c>
      <c r="J159" s="23"/>
      <c r="K159" s="23"/>
      <c r="P159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Dupont Marie</v>
      </c>
      <c r="Q159" s="7">
        <f>IF(suivi[[#This Row],['#support.nom]]="","",COUNTIF(suivi['#support.nom],suivi[[#This Row],['#support.nom]]))</f>
        <v>30</v>
      </c>
      <c r="T159" s="1"/>
      <c r="V159" s="4"/>
      <c r="AH159" t="str" cm="1">
        <f t="array" ref="AH159">_xlfn._xlws.FILTER(saisons[nom],(saisons[debut]&lt;=suivi[[#This Row],[date]])*(saisons[fin]&gt;=suivi[[#This Row],[date]]))</f>
        <v>2025-2026</v>
      </c>
      <c r="AI159">
        <f>MIN(COUNTIFS(suivi[entree.categorie],"Evènement",suivi[entree.nom],suivi[[#This Row],[entree.nom]]),1)</f>
        <v>0</v>
      </c>
      <c r="AK159" t="str" cm="1">
        <f t="array" ref="AK159">IFERROR(_xlfn.TEXTJOIN(",",TRUE,_xlfn.UNIQUE(_xlfn._xlws.FILTER(suivi['#support.traite_manuel],(suivi[[#This Row],['#support.nom]]&lt;&gt;"")*(suivi['#support.nom]=suivi[[#This Row],['#support.nom]])))),"-")</f>
        <v/>
      </c>
    </row>
    <row r="160" spans="1:37" x14ac:dyDescent="0.25">
      <c r="A160" s="1">
        <v>45921</v>
      </c>
      <c r="B160">
        <f>ROW(suivi[[#This Row],['#support.id]])-ROW(suivi[[#Headers],['#support.saison_en_cours]])</f>
        <v>157</v>
      </c>
      <c r="C160" s="7">
        <f>IF(suivi[[#This Row],['#support.saison]]=saison_en_cours,1,"")</f>
        <v>1</v>
      </c>
      <c r="D160" t="s">
        <v>81</v>
      </c>
      <c r="G160" s="10">
        <v>4</v>
      </c>
      <c r="H160" t="s">
        <v>144</v>
      </c>
      <c r="J160" s="23"/>
      <c r="K160" s="23"/>
      <c r="O160" t="s">
        <v>174</v>
      </c>
      <c r="P160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[discord] VbrBot</v>
      </c>
      <c r="Q160" s="7">
        <f>IF(suivi[[#This Row],['#support.nom]]="","",COUNTIF(suivi['#support.nom],suivi[[#This Row],['#support.nom]]))</f>
        <v>1</v>
      </c>
      <c r="T160" s="1"/>
      <c r="U160" t="s">
        <v>147</v>
      </c>
      <c r="V160" s="4"/>
      <c r="W160">
        <v>1</v>
      </c>
      <c r="X160" t="s">
        <v>31</v>
      </c>
      <c r="Y160" t="s">
        <v>148</v>
      </c>
      <c r="Z160" t="s">
        <v>149</v>
      </c>
      <c r="AA160">
        <v>12345</v>
      </c>
      <c r="AB160" t="s">
        <v>150</v>
      </c>
      <c r="AC160" t="s">
        <v>106</v>
      </c>
      <c r="AH160" t="str" cm="1">
        <f t="array" ref="AH160">_xlfn._xlws.FILTER(saisons[nom],(saisons[debut]&lt;=suivi[[#This Row],[date]])*(saisons[fin]&gt;=suivi[[#This Row],[date]]))</f>
        <v>2025-2026</v>
      </c>
      <c r="AI160">
        <f>MIN(COUNTIFS(suivi[entree.categorie],"Evènement",suivi[entree.nom],suivi[[#This Row],[entree.nom]]),1)</f>
        <v>0</v>
      </c>
      <c r="AK160" t="str" cm="1">
        <f t="array" ref="AK160">IFERROR(_xlfn.TEXTJOIN(",",TRUE,_xlfn.UNIQUE(_xlfn._xlws.FILTER(suivi['#support.traite_manuel],(suivi[[#This Row],['#support.nom]]&lt;&gt;"")*(suivi['#support.nom]=suivi[[#This Row],['#support.nom]])))),"-")</f>
        <v/>
      </c>
    </row>
    <row r="161" spans="1:37" x14ac:dyDescent="0.25">
      <c r="A161" s="1">
        <v>45926</v>
      </c>
      <c r="B161">
        <f>ROW(suivi[[#This Row],['#support.id]])-ROW(suivi[[#Headers],['#support.saison_en_cours]])</f>
        <v>158</v>
      </c>
      <c r="C161" s="7">
        <f>IF(suivi[[#This Row],['#support.saison]]=saison_en_cours,1,"")</f>
        <v>1</v>
      </c>
      <c r="D161" t="s">
        <v>7</v>
      </c>
      <c r="G161" s="10">
        <v>1</v>
      </c>
      <c r="J161" s="23"/>
      <c r="K161" s="23"/>
      <c r="P161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Bon Jean</v>
      </c>
      <c r="Q161" s="7">
        <f>IF(suivi[[#This Row],['#support.nom]]="","",COUNTIF(suivi['#support.nom],suivi[[#This Row],['#support.nom]]))</f>
        <v>98</v>
      </c>
      <c r="T161" s="1"/>
      <c r="V161" s="4"/>
      <c r="AH161" t="str" cm="1">
        <f t="array" ref="AH161">_xlfn._xlws.FILTER(saisons[nom],(saisons[debut]&lt;=suivi[[#This Row],[date]])*(saisons[fin]&gt;=suivi[[#This Row],[date]]))</f>
        <v>2025-2026</v>
      </c>
      <c r="AI161">
        <f>MIN(COUNTIFS(suivi[entree.categorie],"Evènement",suivi[entree.nom],suivi[[#This Row],[entree.nom]]),1)</f>
        <v>0</v>
      </c>
      <c r="AK161" t="str" cm="1">
        <f t="array" ref="AK161">IFERROR(_xlfn.TEXTJOIN(",",TRUE,_xlfn.UNIQUE(_xlfn._xlws.FILTER(suivi['#support.traite_manuel],(suivi[[#This Row],['#support.nom]]&lt;&gt;"")*(suivi['#support.nom]=suivi[[#This Row],['#support.nom]])))),"-")</f>
        <v/>
      </c>
    </row>
    <row r="162" spans="1:37" x14ac:dyDescent="0.25">
      <c r="A162" s="1">
        <v>45933</v>
      </c>
      <c r="B162">
        <f>ROW(suivi[[#This Row],['#support.id]])-ROW(suivi[[#Headers],['#support.saison_en_cours]])</f>
        <v>159</v>
      </c>
      <c r="C162" s="7">
        <f>IF(suivi[[#This Row],['#support.saison]]=saison_en_cours,1,"")</f>
        <v>1</v>
      </c>
      <c r="D162" t="s">
        <v>7</v>
      </c>
      <c r="G162" s="10">
        <v>1</v>
      </c>
      <c r="J162" s="23"/>
      <c r="K162" s="23"/>
      <c r="P162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Bon Jean</v>
      </c>
      <c r="Q162" s="7">
        <f>IF(suivi[[#This Row],['#support.nom]]="","",COUNTIF(suivi['#support.nom],suivi[[#This Row],['#support.nom]]))</f>
        <v>98</v>
      </c>
      <c r="T162" s="1"/>
      <c r="V162" s="4"/>
      <c r="AH162" t="str" cm="1">
        <f t="array" ref="AH162">_xlfn._xlws.FILTER(saisons[nom],(saisons[debut]&lt;=suivi[[#This Row],[date]])*(saisons[fin]&gt;=suivi[[#This Row],[date]]))</f>
        <v>2025-2026</v>
      </c>
      <c r="AI162">
        <f>MIN(COUNTIFS(suivi[entree.categorie],"Evènement",suivi[entree.nom],suivi[[#This Row],[entree.nom]]),1)</f>
        <v>0</v>
      </c>
      <c r="AK162" t="str" cm="1">
        <f t="array" ref="AK162">IFERROR(_xlfn.TEXTJOIN(",",TRUE,_xlfn.UNIQUE(_xlfn._xlws.FILTER(suivi['#support.traite_manuel],(suivi[[#This Row],['#support.nom]]&lt;&gt;"")*(suivi['#support.nom]=suivi[[#This Row],['#support.nom]])))),"-")</f>
        <v/>
      </c>
    </row>
    <row r="163" spans="1:37" x14ac:dyDescent="0.25">
      <c r="A163" s="1">
        <v>45940</v>
      </c>
      <c r="B163">
        <f>ROW(suivi[[#This Row],['#support.id]])-ROW(suivi[[#Headers],['#support.saison_en_cours]])</f>
        <v>160</v>
      </c>
      <c r="C163" s="7">
        <f>IF(suivi[[#This Row],['#support.saison]]=saison_en_cours,1,"")</f>
        <v>1</v>
      </c>
      <c r="D163" t="s">
        <v>7</v>
      </c>
      <c r="G163" s="10">
        <v>1</v>
      </c>
      <c r="J163" s="23"/>
      <c r="K163" s="23"/>
      <c r="P163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Bon Jean</v>
      </c>
      <c r="Q163" s="7">
        <f>IF(suivi[[#This Row],['#support.nom]]="","",COUNTIF(suivi['#support.nom],suivi[[#This Row],['#support.nom]]))</f>
        <v>98</v>
      </c>
      <c r="T163" s="1"/>
      <c r="V163" s="4"/>
      <c r="AH163" t="str" cm="1">
        <f t="array" ref="AH163">_xlfn._xlws.FILTER(saisons[nom],(saisons[debut]&lt;=suivi[[#This Row],[date]])*(saisons[fin]&gt;=suivi[[#This Row],[date]]))</f>
        <v>2025-2026</v>
      </c>
      <c r="AI163">
        <f>MIN(COUNTIFS(suivi[entree.categorie],"Evènement",suivi[entree.nom],suivi[[#This Row],[entree.nom]]),1)</f>
        <v>0</v>
      </c>
      <c r="AK163" t="str" cm="1">
        <f t="array" ref="AK163">IFERROR(_xlfn.TEXTJOIN(",",TRUE,_xlfn.UNIQUE(_xlfn._xlws.FILTER(suivi['#support.traite_manuel],(suivi[[#This Row],['#support.nom]]&lt;&gt;"")*(suivi['#support.nom]=suivi[[#This Row],['#support.nom]])))),"-")</f>
        <v/>
      </c>
    </row>
    <row r="164" spans="1:37" x14ac:dyDescent="0.25">
      <c r="A164" s="1">
        <v>45940</v>
      </c>
      <c r="B164">
        <f>ROW(suivi[[#This Row],['#support.id]])-ROW(suivi[[#Headers],['#support.saison_en_cours]])</f>
        <v>161</v>
      </c>
      <c r="C164" s="7">
        <f>IF(suivi[[#This Row],['#support.saison]]=saison_en_cours,1,"")</f>
        <v>1</v>
      </c>
      <c r="D164" t="s">
        <v>7</v>
      </c>
      <c r="G164" s="10">
        <v>2</v>
      </c>
      <c r="J164" s="23"/>
      <c r="K164" s="23"/>
      <c r="P164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Dupont Marie</v>
      </c>
      <c r="Q164" s="7">
        <f>IF(suivi[[#This Row],['#support.nom]]="","",COUNTIF(suivi['#support.nom],suivi[[#This Row],['#support.nom]]))</f>
        <v>30</v>
      </c>
      <c r="T164" s="1"/>
      <c r="V164" s="4"/>
      <c r="AH164" t="str" cm="1">
        <f t="array" ref="AH164">_xlfn._xlws.FILTER(saisons[nom],(saisons[debut]&lt;=suivi[[#This Row],[date]])*(saisons[fin]&gt;=suivi[[#This Row],[date]]))</f>
        <v>2025-2026</v>
      </c>
      <c r="AI164">
        <f>MIN(COUNTIFS(suivi[entree.categorie],"Evènement",suivi[entree.nom],suivi[[#This Row],[entree.nom]]),1)</f>
        <v>0</v>
      </c>
      <c r="AK164" t="str" cm="1">
        <f t="array" ref="AK164">IFERROR(_xlfn.TEXTJOIN(",",TRUE,_xlfn.UNIQUE(_xlfn._xlws.FILTER(suivi['#support.traite_manuel],(suivi[[#This Row],['#support.nom]]&lt;&gt;"")*(suivi['#support.nom]=suivi[[#This Row],['#support.nom]])))),"-")</f>
        <v/>
      </c>
    </row>
    <row r="165" spans="1:37" x14ac:dyDescent="0.25">
      <c r="A165" s="1">
        <v>45947</v>
      </c>
      <c r="B165">
        <f>ROW(suivi[[#This Row],['#support.id]])-ROW(suivi[[#Headers],['#support.saison_en_cours]])</f>
        <v>162</v>
      </c>
      <c r="C165" s="7">
        <f>IF(suivi[[#This Row],['#support.saison]]=saison_en_cours,1,"")</f>
        <v>1</v>
      </c>
      <c r="D165" t="s">
        <v>7</v>
      </c>
      <c r="G165" s="10">
        <v>1</v>
      </c>
      <c r="J165" s="23"/>
      <c r="K165" s="23"/>
      <c r="P165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Bon Jean</v>
      </c>
      <c r="Q165" s="7">
        <f>IF(suivi[[#This Row],['#support.nom]]="","",COUNTIF(suivi['#support.nom],suivi[[#This Row],['#support.nom]]))</f>
        <v>98</v>
      </c>
      <c r="T165" s="1"/>
      <c r="V165" s="4"/>
      <c r="AH165" t="str" cm="1">
        <f t="array" ref="AH165">_xlfn._xlws.FILTER(saisons[nom],(saisons[debut]&lt;=suivi[[#This Row],[date]])*(saisons[fin]&gt;=suivi[[#This Row],[date]]))</f>
        <v>2025-2026</v>
      </c>
      <c r="AI165">
        <f>MIN(COUNTIFS(suivi[entree.categorie],"Evènement",suivi[entree.nom],suivi[[#This Row],[entree.nom]]),1)</f>
        <v>0</v>
      </c>
      <c r="AK165" t="str" cm="1">
        <f t="array" ref="AK165">IFERROR(_xlfn.TEXTJOIN(",",TRUE,_xlfn.UNIQUE(_xlfn._xlws.FILTER(suivi['#support.traite_manuel],(suivi[[#This Row],['#support.nom]]&lt;&gt;"")*(suivi['#support.nom]=suivi[[#This Row],['#support.nom]])))),"-")</f>
        <v/>
      </c>
    </row>
    <row r="166" spans="1:37" x14ac:dyDescent="0.25">
      <c r="A166" s="1">
        <v>45947</v>
      </c>
      <c r="B166">
        <f>ROW(suivi[[#This Row],['#support.id]])-ROW(suivi[[#Headers],['#support.saison_en_cours]])</f>
        <v>163</v>
      </c>
      <c r="C166" s="7">
        <f>IF(suivi[[#This Row],['#support.saison]]=saison_en_cours,1,"")</f>
        <v>1</v>
      </c>
      <c r="D166" t="s">
        <v>7</v>
      </c>
      <c r="G166" s="10">
        <v>2</v>
      </c>
      <c r="J166" s="23"/>
      <c r="K166" s="23"/>
      <c r="P166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Dupont Marie</v>
      </c>
      <c r="Q166" s="7">
        <f>IF(suivi[[#This Row],['#support.nom]]="","",COUNTIF(suivi['#support.nom],suivi[[#This Row],['#support.nom]]))</f>
        <v>30</v>
      </c>
      <c r="T166" s="1"/>
      <c r="V166" s="4"/>
      <c r="AH166" t="str" cm="1">
        <f t="array" ref="AH166">_xlfn._xlws.FILTER(saisons[nom],(saisons[debut]&lt;=suivi[[#This Row],[date]])*(saisons[fin]&gt;=suivi[[#This Row],[date]]))</f>
        <v>2025-2026</v>
      </c>
      <c r="AI166">
        <f>MIN(COUNTIFS(suivi[entree.categorie],"Evènement",suivi[entree.nom],suivi[[#This Row],[entree.nom]]),1)</f>
        <v>0</v>
      </c>
      <c r="AK166" t="str" cm="1">
        <f t="array" ref="AK166">IFERROR(_xlfn.TEXTJOIN(",",TRUE,_xlfn.UNIQUE(_xlfn._xlws.FILTER(suivi['#support.traite_manuel],(suivi[[#This Row],['#support.nom]]&lt;&gt;"")*(suivi['#support.nom]=suivi[[#This Row],['#support.nom]])))),"-")</f>
        <v/>
      </c>
    </row>
    <row r="167" spans="1:37" x14ac:dyDescent="0.25">
      <c r="A167" s="1">
        <v>45954</v>
      </c>
      <c r="B167">
        <f>ROW(suivi[[#This Row],['#support.id]])-ROW(suivi[[#Headers],['#support.saison_en_cours]])</f>
        <v>164</v>
      </c>
      <c r="C167" s="7">
        <f>IF(suivi[[#This Row],['#support.saison]]=saison_en_cours,1,"")</f>
        <v>1</v>
      </c>
      <c r="D167" t="s">
        <v>7</v>
      </c>
      <c r="G167" s="10">
        <v>1</v>
      </c>
      <c r="J167" s="23"/>
      <c r="K167" s="23"/>
      <c r="P167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Bon Jean</v>
      </c>
      <c r="Q167" s="7">
        <f>IF(suivi[[#This Row],['#support.nom]]="","",COUNTIF(suivi['#support.nom],suivi[[#This Row],['#support.nom]]))</f>
        <v>98</v>
      </c>
      <c r="T167" s="1"/>
      <c r="V167" s="4"/>
      <c r="AH167" t="str" cm="1">
        <f t="array" ref="AH167">_xlfn._xlws.FILTER(saisons[nom],(saisons[debut]&lt;=suivi[[#This Row],[date]])*(saisons[fin]&gt;=suivi[[#This Row],[date]]))</f>
        <v>2025-2026</v>
      </c>
      <c r="AI167">
        <f>MIN(COUNTIFS(suivi[entree.categorie],"Evènement",suivi[entree.nom],suivi[[#This Row],[entree.nom]]),1)</f>
        <v>0</v>
      </c>
      <c r="AK167" t="str" cm="1">
        <f t="array" ref="AK167">IFERROR(_xlfn.TEXTJOIN(",",TRUE,_xlfn.UNIQUE(_xlfn._xlws.FILTER(suivi['#support.traite_manuel],(suivi[[#This Row],['#support.nom]]&lt;&gt;"")*(suivi['#support.nom]=suivi[[#This Row],['#support.nom]])))),"-")</f>
        <v/>
      </c>
    </row>
    <row r="168" spans="1:37" x14ac:dyDescent="0.25">
      <c r="A168" s="1">
        <v>45961</v>
      </c>
      <c r="B168">
        <f>ROW(suivi[[#This Row],['#support.id]])-ROW(suivi[[#Headers],['#support.saison_en_cours]])</f>
        <v>165</v>
      </c>
      <c r="C168" s="7">
        <f>IF(suivi[[#This Row],['#support.saison]]=saison_en_cours,1,"")</f>
        <v>1</v>
      </c>
      <c r="D168" t="s">
        <v>7</v>
      </c>
      <c r="E168" t="s">
        <v>168</v>
      </c>
      <c r="G168" s="10">
        <v>1</v>
      </c>
      <c r="J168" s="23"/>
      <c r="K168" s="23"/>
      <c r="P168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Bon Jean</v>
      </c>
      <c r="Q168" s="7">
        <f>IF(suivi[[#This Row],['#support.nom]]="","",COUNTIF(suivi['#support.nom],suivi[[#This Row],['#support.nom]]))</f>
        <v>98</v>
      </c>
      <c r="T168" s="1"/>
      <c r="V168" s="4"/>
      <c r="AH168" t="str" cm="1">
        <f t="array" ref="AH168">_xlfn._xlws.FILTER(saisons[nom],(saisons[debut]&lt;=suivi[[#This Row],[date]])*(saisons[fin]&gt;=suivi[[#This Row],[date]]))</f>
        <v>2025-2026</v>
      </c>
      <c r="AI168">
        <f>MIN(COUNTIFS(suivi[entree.categorie],"Evènement",suivi[entree.nom],suivi[[#This Row],[entree.nom]]),1)</f>
        <v>1</v>
      </c>
      <c r="AK168" t="str" cm="1">
        <f t="array" ref="AK168">IFERROR(_xlfn.TEXTJOIN(",",TRUE,_xlfn.UNIQUE(_xlfn._xlws.FILTER(suivi['#support.traite_manuel],(suivi[[#This Row],['#support.nom]]&lt;&gt;"")*(suivi['#support.nom]=suivi[[#This Row],['#support.nom]])))),"-")</f>
        <v/>
      </c>
    </row>
    <row r="169" spans="1:37" x14ac:dyDescent="0.25">
      <c r="A169" s="1">
        <v>45961</v>
      </c>
      <c r="B169">
        <f>ROW(suivi[[#This Row],['#support.id]])-ROW(suivi[[#Headers],['#support.saison_en_cours]])</f>
        <v>166</v>
      </c>
      <c r="C169" s="7">
        <f>IF(suivi[[#This Row],['#support.saison]]=saison_en_cours,1,"")</f>
        <v>1</v>
      </c>
      <c r="D169" t="s">
        <v>7</v>
      </c>
      <c r="E169" t="s">
        <v>168</v>
      </c>
      <c r="G169" s="10">
        <v>2</v>
      </c>
      <c r="J169" s="23"/>
      <c r="K169" s="23"/>
      <c r="P169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Dupont Marie</v>
      </c>
      <c r="Q169" s="7">
        <f>IF(suivi[[#This Row],['#support.nom]]="","",COUNTIF(suivi['#support.nom],suivi[[#This Row],['#support.nom]]))</f>
        <v>30</v>
      </c>
      <c r="T169" s="1"/>
      <c r="V169" s="4"/>
      <c r="AH169" t="str" cm="1">
        <f t="array" ref="AH169">_xlfn._xlws.FILTER(saisons[nom],(saisons[debut]&lt;=suivi[[#This Row],[date]])*(saisons[fin]&gt;=suivi[[#This Row],[date]]))</f>
        <v>2025-2026</v>
      </c>
      <c r="AI169">
        <f>MIN(COUNTIFS(suivi[entree.categorie],"Evènement",suivi[entree.nom],suivi[[#This Row],[entree.nom]]),1)</f>
        <v>1</v>
      </c>
      <c r="AK169" t="str" cm="1">
        <f t="array" ref="AK169">IFERROR(_xlfn.TEXTJOIN(",",TRUE,_xlfn.UNIQUE(_xlfn._xlws.FILTER(suivi['#support.traite_manuel],(suivi[[#This Row],['#support.nom]]&lt;&gt;"")*(suivi['#support.nom]=suivi[[#This Row],['#support.nom]])))),"-")</f>
        <v/>
      </c>
    </row>
    <row r="170" spans="1:37" x14ac:dyDescent="0.25">
      <c r="A170" s="1">
        <v>45961</v>
      </c>
      <c r="B170">
        <f>ROW(suivi[[#This Row],['#support.id]])-ROW(suivi[[#Headers],['#support.saison_en_cours]])</f>
        <v>167</v>
      </c>
      <c r="C170" s="7">
        <f>IF(suivi[[#This Row],['#support.saison]]=saison_en_cours,1,"")</f>
        <v>1</v>
      </c>
      <c r="D170" t="s">
        <v>0</v>
      </c>
      <c r="E170" t="s">
        <v>168</v>
      </c>
      <c r="G170" s="10"/>
      <c r="J170" s="23"/>
      <c r="K170" s="23"/>
      <c r="P170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[suivi] Evènement_Soirée Jeux Halloween_167</v>
      </c>
      <c r="Q170" s="7">
        <f>IF(suivi[[#This Row],['#support.nom]]="","",COUNTIF(suivi['#support.nom],suivi[[#This Row],['#support.nom]]))</f>
        <v>1</v>
      </c>
      <c r="T170" s="1"/>
      <c r="V170" s="4"/>
      <c r="AH170" t="str" cm="1">
        <f t="array" ref="AH170">_xlfn._xlws.FILTER(saisons[nom],(saisons[debut]&lt;=suivi[[#This Row],[date]])*(saisons[fin]&gt;=suivi[[#This Row],[date]]))</f>
        <v>2025-2026</v>
      </c>
      <c r="AI170">
        <f>MIN(COUNTIFS(suivi[entree.categorie],"Evènement",suivi[entree.nom],suivi[[#This Row],[entree.nom]]),1)</f>
        <v>1</v>
      </c>
      <c r="AK170" t="str" cm="1">
        <f t="array" ref="AK170">IFERROR(_xlfn.TEXTJOIN(",",TRUE,_xlfn.UNIQUE(_xlfn._xlws.FILTER(suivi['#support.traite_manuel],(suivi[[#This Row],['#support.nom]]&lt;&gt;"")*(suivi['#support.nom]=suivi[[#This Row],['#support.nom]])))),"-")</f>
        <v/>
      </c>
    </row>
    <row r="171" spans="1:37" x14ac:dyDescent="0.25">
      <c r="A171" s="1">
        <v>45962</v>
      </c>
      <c r="B171">
        <f>ROW(suivi[[#This Row],['#support.id]])-ROW(suivi[[#Headers],['#support.saison_en_cours]])</f>
        <v>168</v>
      </c>
      <c r="C171" s="7">
        <f>IF(suivi[[#This Row],['#support.saison]]=saison_en_cours,1,"")</f>
        <v>1</v>
      </c>
      <c r="D171" t="s">
        <v>81</v>
      </c>
      <c r="G171" s="10">
        <v>1</v>
      </c>
      <c r="H171" t="s">
        <v>24</v>
      </c>
      <c r="J171" s="23"/>
      <c r="K171" s="23"/>
      <c r="O171" t="s">
        <v>174</v>
      </c>
      <c r="P171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Bon Jean</v>
      </c>
      <c r="Q171" s="7">
        <f>IF(suivi[[#This Row],['#support.nom]]="","",COUNTIF(suivi['#support.nom],suivi[[#This Row],['#support.nom]]))</f>
        <v>98</v>
      </c>
      <c r="T171" s="1"/>
      <c r="V171" s="4"/>
      <c r="AH171" t="str" cm="1">
        <f t="array" ref="AH171">_xlfn._xlws.FILTER(saisons[nom],(saisons[debut]&lt;=suivi[[#This Row],[date]])*(saisons[fin]&gt;=suivi[[#This Row],[date]]))</f>
        <v>2025-2026</v>
      </c>
      <c r="AI171">
        <f>MIN(COUNTIFS(suivi[entree.categorie],"Evènement",suivi[entree.nom],suivi[[#This Row],[entree.nom]]),1)</f>
        <v>0</v>
      </c>
      <c r="AK171" t="str" cm="1">
        <f t="array" ref="AK171">IFERROR(_xlfn.TEXTJOIN(",",TRUE,_xlfn.UNIQUE(_xlfn._xlws.FILTER(suivi['#support.traite_manuel],(suivi[[#This Row],['#support.nom]]&lt;&gt;"")*(suivi['#support.nom]=suivi[[#This Row],['#support.nom]])))),"-")</f>
        <v/>
      </c>
    </row>
    <row r="172" spans="1:37" x14ac:dyDescent="0.25">
      <c r="A172" s="1">
        <v>45968</v>
      </c>
      <c r="B172">
        <f>ROW(suivi[[#This Row],['#support.id]])-ROW(suivi[[#Headers],['#support.saison_en_cours]])</f>
        <v>169</v>
      </c>
      <c r="C172" s="7">
        <f>IF(suivi[[#This Row],['#support.saison]]=saison_en_cours,1,"")</f>
        <v>1</v>
      </c>
      <c r="D172" t="s">
        <v>7</v>
      </c>
      <c r="G172" s="10">
        <v>1</v>
      </c>
      <c r="J172" s="23"/>
      <c r="K172" s="23"/>
      <c r="P172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Bon Jean</v>
      </c>
      <c r="Q172" s="7">
        <f>IF(suivi[[#This Row],['#support.nom]]="","",COUNTIF(suivi['#support.nom],suivi[[#This Row],['#support.nom]]))</f>
        <v>98</v>
      </c>
      <c r="T172" s="1"/>
      <c r="V172" s="4"/>
      <c r="AH172" t="str" cm="1">
        <f t="array" ref="AH172">_xlfn._xlws.FILTER(saisons[nom],(saisons[debut]&lt;=suivi[[#This Row],[date]])*(saisons[fin]&gt;=suivi[[#This Row],[date]]))</f>
        <v>2025-2026</v>
      </c>
      <c r="AI172">
        <f>MIN(COUNTIFS(suivi[entree.categorie],"Evènement",suivi[entree.nom],suivi[[#This Row],[entree.nom]]),1)</f>
        <v>0</v>
      </c>
      <c r="AK172" t="str" cm="1">
        <f t="array" ref="AK172">IFERROR(_xlfn.TEXTJOIN(",",TRUE,_xlfn.UNIQUE(_xlfn._xlws.FILTER(suivi['#support.traite_manuel],(suivi[[#This Row],['#support.nom]]&lt;&gt;"")*(suivi['#support.nom]=suivi[[#This Row],['#support.nom]])))),"-")</f>
        <v/>
      </c>
    </row>
    <row r="173" spans="1:37" x14ac:dyDescent="0.25">
      <c r="A173" s="1">
        <v>45975</v>
      </c>
      <c r="B173">
        <f>ROW(suivi[[#This Row],['#support.id]])-ROW(suivi[[#Headers],['#support.saison_en_cours]])</f>
        <v>170</v>
      </c>
      <c r="C173" s="7">
        <f>IF(suivi[[#This Row],['#support.saison]]=saison_en_cours,1,"")</f>
        <v>1</v>
      </c>
      <c r="D173" t="s">
        <v>7</v>
      </c>
      <c r="G173" s="10">
        <v>1</v>
      </c>
      <c r="J173" s="23"/>
      <c r="K173" s="23"/>
      <c r="P173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Bon Jean</v>
      </c>
      <c r="Q173" s="7">
        <f>IF(suivi[[#This Row],['#support.nom]]="","",COUNTIF(suivi['#support.nom],suivi[[#This Row],['#support.nom]]))</f>
        <v>98</v>
      </c>
      <c r="T173" s="1"/>
      <c r="V173" s="4"/>
      <c r="AH173" t="str" cm="1">
        <f t="array" ref="AH173">_xlfn._xlws.FILTER(saisons[nom],(saisons[debut]&lt;=suivi[[#This Row],[date]])*(saisons[fin]&gt;=suivi[[#This Row],[date]]))</f>
        <v>2025-2026</v>
      </c>
      <c r="AI173">
        <f>MIN(COUNTIFS(suivi[entree.categorie],"Evènement",suivi[entree.nom],suivi[[#This Row],[entree.nom]]),1)</f>
        <v>0</v>
      </c>
      <c r="AK173" t="str" cm="1">
        <f t="array" ref="AK173">IFERROR(_xlfn.TEXTJOIN(",",TRUE,_xlfn.UNIQUE(_xlfn._xlws.FILTER(suivi['#support.traite_manuel],(suivi[[#This Row],['#support.nom]]&lt;&gt;"")*(suivi['#support.nom]=suivi[[#This Row],['#support.nom]])))),"-")</f>
        <v/>
      </c>
    </row>
    <row r="174" spans="1:37" x14ac:dyDescent="0.25">
      <c r="A174" s="1">
        <v>45982</v>
      </c>
      <c r="B174">
        <f>ROW(suivi[[#This Row],['#support.id]])-ROW(suivi[[#Headers],['#support.saison_en_cours]])</f>
        <v>171</v>
      </c>
      <c r="C174" s="7">
        <f>IF(suivi[[#This Row],['#support.saison]]=saison_en_cours,1,"")</f>
        <v>1</v>
      </c>
      <c r="D174" t="s">
        <v>7</v>
      </c>
      <c r="G174" s="10">
        <v>1</v>
      </c>
      <c r="J174" s="23"/>
      <c r="K174" s="23"/>
      <c r="P174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Bon Jean</v>
      </c>
      <c r="Q174" s="7">
        <f>IF(suivi[[#This Row],['#support.nom]]="","",COUNTIF(suivi['#support.nom],suivi[[#This Row],['#support.nom]]))</f>
        <v>98</v>
      </c>
      <c r="T174" s="1"/>
      <c r="V174" s="4"/>
      <c r="AH174" t="str" cm="1">
        <f t="array" ref="AH174">_xlfn._xlws.FILTER(saisons[nom],(saisons[debut]&lt;=suivi[[#This Row],[date]])*(saisons[fin]&gt;=suivi[[#This Row],[date]]))</f>
        <v>2025-2026</v>
      </c>
      <c r="AI174">
        <f>MIN(COUNTIFS(suivi[entree.categorie],"Evènement",suivi[entree.nom],suivi[[#This Row],[entree.nom]]),1)</f>
        <v>0</v>
      </c>
      <c r="AK174" t="str" cm="1">
        <f t="array" ref="AK174">IFERROR(_xlfn.TEXTJOIN(",",TRUE,_xlfn.UNIQUE(_xlfn._xlws.FILTER(suivi['#support.traite_manuel],(suivi[[#This Row],['#support.nom]]&lt;&gt;"")*(suivi['#support.nom]=suivi[[#This Row],['#support.nom]])))),"-")</f>
        <v/>
      </c>
    </row>
    <row r="175" spans="1:37" x14ac:dyDescent="0.25">
      <c r="A175" s="1">
        <v>45982</v>
      </c>
      <c r="B175">
        <f>ROW(suivi[[#This Row],['#support.id]])-ROW(suivi[[#Headers],['#support.saison_en_cours]])</f>
        <v>172</v>
      </c>
      <c r="C175" s="7">
        <f>IF(suivi[[#This Row],['#support.saison]]=saison_en_cours,1,"")</f>
        <v>1</v>
      </c>
      <c r="D175" t="s">
        <v>7</v>
      </c>
      <c r="G175" s="10">
        <v>2</v>
      </c>
      <c r="J175" s="23"/>
      <c r="K175" s="23"/>
      <c r="P175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Dupont Marie</v>
      </c>
      <c r="Q175" s="7">
        <f>IF(suivi[[#This Row],['#support.nom]]="","",COUNTIF(suivi['#support.nom],suivi[[#This Row],['#support.nom]]))</f>
        <v>30</v>
      </c>
      <c r="T175" s="1"/>
      <c r="V175" s="4"/>
      <c r="AH175" t="str" cm="1">
        <f t="array" ref="AH175">_xlfn._xlws.FILTER(saisons[nom],(saisons[debut]&lt;=suivi[[#This Row],[date]])*(saisons[fin]&gt;=suivi[[#This Row],[date]]))</f>
        <v>2025-2026</v>
      </c>
      <c r="AI175">
        <f>MIN(COUNTIFS(suivi[entree.categorie],"Evènement",suivi[entree.nom],suivi[[#This Row],[entree.nom]]),1)</f>
        <v>0</v>
      </c>
      <c r="AK175" t="str" cm="1">
        <f t="array" ref="AK175">IFERROR(_xlfn.TEXTJOIN(",",TRUE,_xlfn.UNIQUE(_xlfn._xlws.FILTER(suivi['#support.traite_manuel],(suivi[[#This Row],['#support.nom]]&lt;&gt;"")*(suivi['#support.nom]=suivi[[#This Row],['#support.nom]])))),"-")</f>
        <v/>
      </c>
    </row>
    <row r="176" spans="1:37" x14ac:dyDescent="0.25">
      <c r="A176" s="1">
        <v>45989</v>
      </c>
      <c r="B176">
        <f>ROW(suivi[[#This Row],['#support.id]])-ROW(suivi[[#Headers],['#support.saison_en_cours]])</f>
        <v>173</v>
      </c>
      <c r="C176" s="7">
        <f>IF(suivi[[#This Row],['#support.saison]]=saison_en_cours,1,"")</f>
        <v>1</v>
      </c>
      <c r="D176" t="s">
        <v>7</v>
      </c>
      <c r="G176" s="10">
        <v>1</v>
      </c>
      <c r="J176" s="23"/>
      <c r="K176" s="23"/>
      <c r="P176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Bon Jean</v>
      </c>
      <c r="Q176" s="7">
        <f>IF(suivi[[#This Row],['#support.nom]]="","",COUNTIF(suivi['#support.nom],suivi[[#This Row],['#support.nom]]))</f>
        <v>98</v>
      </c>
      <c r="T176" s="1"/>
      <c r="V176" s="4"/>
      <c r="AH176" t="str" cm="1">
        <f t="array" ref="AH176">_xlfn._xlws.FILTER(saisons[nom],(saisons[debut]&lt;=suivi[[#This Row],[date]])*(saisons[fin]&gt;=suivi[[#This Row],[date]]))</f>
        <v>2025-2026</v>
      </c>
      <c r="AI176">
        <f>MIN(COUNTIFS(suivi[entree.categorie],"Evènement",suivi[entree.nom],suivi[[#This Row],[entree.nom]]),1)</f>
        <v>0</v>
      </c>
      <c r="AK176" t="str" cm="1">
        <f t="array" ref="AK176">IFERROR(_xlfn.TEXTJOIN(",",TRUE,_xlfn.UNIQUE(_xlfn._xlws.FILTER(suivi['#support.traite_manuel],(suivi[[#This Row],['#support.nom]]&lt;&gt;"")*(suivi['#support.nom]=suivi[[#This Row],['#support.nom]])))),"-")</f>
        <v/>
      </c>
    </row>
    <row r="177" spans="1:37" x14ac:dyDescent="0.25">
      <c r="A177" s="1">
        <v>45992</v>
      </c>
      <c r="B177">
        <f>ROW(suivi[[#This Row],['#support.id]])-ROW(suivi[[#Headers],['#support.saison_en_cours]])</f>
        <v>174</v>
      </c>
      <c r="C177" s="7">
        <f>IF(suivi[[#This Row],['#support.saison]]=saison_en_cours,1,"")</f>
        <v>1</v>
      </c>
      <c r="D177" t="s">
        <v>0</v>
      </c>
      <c r="E177" t="s">
        <v>193</v>
      </c>
      <c r="F177" t="s">
        <v>194</v>
      </c>
      <c r="G177" s="10"/>
      <c r="I177" t="s">
        <v>40</v>
      </c>
      <c r="J177" s="23"/>
      <c r="K177" s="23"/>
      <c r="P177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[suivi] Evènement_Forum associations 2025_Emission Chèque XXXXX - Trésor Public - XX/09/2025_174</v>
      </c>
      <c r="Q177" s="7">
        <f>IF(suivi[[#This Row],['#support.nom]]="","",COUNTIF(suivi['#support.nom],suivi[[#This Row],['#support.nom]]))</f>
        <v>1</v>
      </c>
      <c r="T177" s="1"/>
      <c r="V177" s="4"/>
      <c r="AH177" t="str" cm="1">
        <f t="array" ref="AH177">_xlfn._xlws.FILTER(saisons[nom],(saisons[debut]&lt;=suivi[[#This Row],[date]])*(saisons[fin]&gt;=suivi[[#This Row],[date]]))</f>
        <v>2025-2026</v>
      </c>
      <c r="AI177">
        <f>MIN(COUNTIFS(suivi[entree.categorie],"Evènement",suivi[entree.nom],suivi[[#This Row],[entree.nom]]),1)</f>
        <v>1</v>
      </c>
      <c r="AK177" t="str" cm="1">
        <f t="array" ref="AK177">IFERROR(_xlfn.TEXTJOIN(",",TRUE,_xlfn.UNIQUE(_xlfn._xlws.FILTER(suivi['#support.traite_manuel],(suivi[[#This Row],['#support.nom]]&lt;&gt;"")*(suivi['#support.nom]=suivi[[#This Row],['#support.nom]])))),"-")</f>
        <v/>
      </c>
    </row>
    <row r="178" spans="1:37" x14ac:dyDescent="0.25">
      <c r="A178" s="1">
        <v>45996</v>
      </c>
      <c r="B178">
        <f>ROW(suivi[[#This Row],['#support.id]])-ROW(suivi[[#Headers],['#support.saison_en_cours]])</f>
        <v>175</v>
      </c>
      <c r="C178" s="7">
        <f>IF(suivi[[#This Row],['#support.saison]]=saison_en_cours,1,"")</f>
        <v>1</v>
      </c>
      <c r="D178" t="s">
        <v>7</v>
      </c>
      <c r="G178" s="10">
        <v>1</v>
      </c>
      <c r="J178" s="23"/>
      <c r="K178" s="23"/>
      <c r="P178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Bon Jean</v>
      </c>
      <c r="Q178" s="7">
        <f>IF(suivi[[#This Row],['#support.nom]]="","",COUNTIF(suivi['#support.nom],suivi[[#This Row],['#support.nom]]))</f>
        <v>98</v>
      </c>
      <c r="T178" s="1"/>
      <c r="V178" s="4"/>
      <c r="AH178" t="str" cm="1">
        <f t="array" ref="AH178">_xlfn._xlws.FILTER(saisons[nom],(saisons[debut]&lt;=suivi[[#This Row],[date]])*(saisons[fin]&gt;=suivi[[#This Row],[date]]))</f>
        <v>2025-2026</v>
      </c>
      <c r="AI178">
        <f>MIN(COUNTIFS(suivi[entree.categorie],"Evènement",suivi[entree.nom],suivi[[#This Row],[entree.nom]]),1)</f>
        <v>0</v>
      </c>
      <c r="AK178" t="str" cm="1">
        <f t="array" ref="AK178">IFERROR(_xlfn.TEXTJOIN(",",TRUE,_xlfn.UNIQUE(_xlfn._xlws.FILTER(suivi['#support.traite_manuel],(suivi[[#This Row],['#support.nom]]&lt;&gt;"")*(suivi['#support.nom]=suivi[[#This Row],['#support.nom]])))),"-")</f>
        <v/>
      </c>
    </row>
    <row r="179" spans="1:37" x14ac:dyDescent="0.25">
      <c r="A179" s="1">
        <v>45996</v>
      </c>
      <c r="B179">
        <f>ROW(suivi[[#This Row],['#support.id]])-ROW(suivi[[#Headers],['#support.saison_en_cours]])</f>
        <v>176</v>
      </c>
      <c r="C179" s="7">
        <f>IF(suivi[[#This Row],['#support.saison]]=saison_en_cours,1,"")</f>
        <v>1</v>
      </c>
      <c r="D179" t="s">
        <v>7</v>
      </c>
      <c r="G179" s="10">
        <v>2</v>
      </c>
      <c r="J179" s="23"/>
      <c r="K179" s="23"/>
      <c r="P179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Dupont Marie</v>
      </c>
      <c r="Q179" s="7">
        <f>IF(suivi[[#This Row],['#support.nom]]="","",COUNTIF(suivi['#support.nom],suivi[[#This Row],['#support.nom]]))</f>
        <v>30</v>
      </c>
      <c r="T179" s="1"/>
      <c r="V179" s="4"/>
      <c r="AH179" t="str" cm="1">
        <f t="array" ref="AH179">_xlfn._xlws.FILTER(saisons[nom],(saisons[debut]&lt;=suivi[[#This Row],[date]])*(saisons[fin]&gt;=suivi[[#This Row],[date]]))</f>
        <v>2025-2026</v>
      </c>
      <c r="AI179">
        <f>MIN(COUNTIFS(suivi[entree.categorie],"Evènement",suivi[entree.nom],suivi[[#This Row],[entree.nom]]),1)</f>
        <v>0</v>
      </c>
      <c r="AK179" t="str" cm="1">
        <f t="array" ref="AK179">IFERROR(_xlfn.TEXTJOIN(",",TRUE,_xlfn.UNIQUE(_xlfn._xlws.FILTER(suivi['#support.traite_manuel],(suivi[[#This Row],['#support.nom]]&lt;&gt;"")*(suivi['#support.nom]=suivi[[#This Row],['#support.nom]])))),"-")</f>
        <v/>
      </c>
    </row>
    <row r="180" spans="1:37" x14ac:dyDescent="0.25">
      <c r="A180" s="1">
        <v>46003</v>
      </c>
      <c r="B180">
        <f>ROW(suivi[[#This Row],['#support.id]])-ROW(suivi[[#Headers],['#support.saison_en_cours]])</f>
        <v>177</v>
      </c>
      <c r="C180" s="7">
        <f>IF(suivi[[#This Row],['#support.saison]]=saison_en_cours,1,"")</f>
        <v>1</v>
      </c>
      <c r="D180" t="s">
        <v>7</v>
      </c>
      <c r="G180" s="10">
        <v>1</v>
      </c>
      <c r="J180" s="23"/>
      <c r="K180" s="23"/>
      <c r="P180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Bon Jean</v>
      </c>
      <c r="Q180" s="7">
        <f>IF(suivi[[#This Row],['#support.nom]]="","",COUNTIF(suivi['#support.nom],suivi[[#This Row],['#support.nom]]))</f>
        <v>98</v>
      </c>
      <c r="T180" s="1"/>
      <c r="V180" s="4"/>
      <c r="AH180" t="str" cm="1">
        <f t="array" ref="AH180">_xlfn._xlws.FILTER(saisons[nom],(saisons[debut]&lt;=suivi[[#This Row],[date]])*(saisons[fin]&gt;=suivi[[#This Row],[date]]))</f>
        <v>2025-2026</v>
      </c>
      <c r="AI180">
        <f>MIN(COUNTIFS(suivi[entree.categorie],"Evènement",suivi[entree.nom],suivi[[#This Row],[entree.nom]]),1)</f>
        <v>0</v>
      </c>
      <c r="AK180" t="str" cm="1">
        <f t="array" ref="AK180">IFERROR(_xlfn.TEXTJOIN(",",TRUE,_xlfn.UNIQUE(_xlfn._xlws.FILTER(suivi['#support.traite_manuel],(suivi[[#This Row],['#support.nom]]&lt;&gt;"")*(suivi['#support.nom]=suivi[[#This Row],['#support.nom]])))),"-")</f>
        <v/>
      </c>
    </row>
    <row r="181" spans="1:37" x14ac:dyDescent="0.25">
      <c r="A181" s="1">
        <v>46003</v>
      </c>
      <c r="B181">
        <f>ROW(suivi[[#This Row],['#support.id]])-ROW(suivi[[#Headers],['#support.saison_en_cours]])</f>
        <v>178</v>
      </c>
      <c r="C181" s="7">
        <f>IF(suivi[[#This Row],['#support.saison]]=saison_en_cours,1,"")</f>
        <v>1</v>
      </c>
      <c r="D181" t="s">
        <v>7</v>
      </c>
      <c r="G181" s="10">
        <v>2</v>
      </c>
      <c r="J181" s="23"/>
      <c r="K181" s="23"/>
      <c r="P181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Dupont Marie</v>
      </c>
      <c r="Q181" s="7">
        <f>IF(suivi[[#This Row],['#support.nom]]="","",COUNTIF(suivi['#support.nom],suivi[[#This Row],['#support.nom]]))</f>
        <v>30</v>
      </c>
      <c r="T181" s="1"/>
      <c r="V181" s="4"/>
      <c r="AH181" t="str" cm="1">
        <f t="array" ref="AH181">_xlfn._xlws.FILTER(saisons[nom],(saisons[debut]&lt;=suivi[[#This Row],[date]])*(saisons[fin]&gt;=suivi[[#This Row],[date]]))</f>
        <v>2025-2026</v>
      </c>
      <c r="AI181">
        <f>MIN(COUNTIFS(suivi[entree.categorie],"Evènement",suivi[entree.nom],suivi[[#This Row],[entree.nom]]),1)</f>
        <v>0</v>
      </c>
      <c r="AK181" t="str" cm="1">
        <f t="array" ref="AK181">IFERROR(_xlfn.TEXTJOIN(",",TRUE,_xlfn.UNIQUE(_xlfn._xlws.FILTER(suivi['#support.traite_manuel],(suivi[[#This Row],['#support.nom]]&lt;&gt;"")*(suivi['#support.nom]=suivi[[#This Row],['#support.nom]])))),"-")</f>
        <v/>
      </c>
    </row>
    <row r="182" spans="1:37" x14ac:dyDescent="0.25">
      <c r="A182" s="1">
        <v>46010</v>
      </c>
      <c r="B182">
        <f>ROW(suivi[[#This Row],['#support.id]])-ROW(suivi[[#Headers],['#support.saison_en_cours]])</f>
        <v>179</v>
      </c>
      <c r="C182" s="7">
        <f>IF(suivi[[#This Row],['#support.saison]]=saison_en_cours,1,"")</f>
        <v>1</v>
      </c>
      <c r="D182" t="s">
        <v>7</v>
      </c>
      <c r="G182" s="10">
        <v>1</v>
      </c>
      <c r="J182" s="23"/>
      <c r="K182" s="23"/>
      <c r="P182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Bon Jean</v>
      </c>
      <c r="Q182" s="7">
        <f>IF(suivi[[#This Row],['#support.nom]]="","",COUNTIF(suivi['#support.nom],suivi[[#This Row],['#support.nom]]))</f>
        <v>98</v>
      </c>
      <c r="T182" s="1"/>
      <c r="V182" s="4"/>
      <c r="AH182" t="str" cm="1">
        <f t="array" ref="AH182">_xlfn._xlws.FILTER(saisons[nom],(saisons[debut]&lt;=suivi[[#This Row],[date]])*(saisons[fin]&gt;=suivi[[#This Row],[date]]))</f>
        <v>2025-2026</v>
      </c>
      <c r="AI182">
        <f>MIN(COUNTIFS(suivi[entree.categorie],"Evènement",suivi[entree.nom],suivi[[#This Row],[entree.nom]]),1)</f>
        <v>0</v>
      </c>
      <c r="AK182" t="str" cm="1">
        <f t="array" ref="AK182">IFERROR(_xlfn.TEXTJOIN(",",TRUE,_xlfn.UNIQUE(_xlfn._xlws.FILTER(suivi['#support.traite_manuel],(suivi[[#This Row],['#support.nom]]&lt;&gt;"")*(suivi['#support.nom]=suivi[[#This Row],['#support.nom]])))),"-")</f>
        <v/>
      </c>
    </row>
    <row r="183" spans="1:37" x14ac:dyDescent="0.25">
      <c r="A183" s="1">
        <v>46031</v>
      </c>
      <c r="B183">
        <f>ROW(suivi[[#This Row],['#support.id]])-ROW(suivi[[#Headers],['#support.saison_en_cours]])</f>
        <v>180</v>
      </c>
      <c r="C183" s="7">
        <f>IF(suivi[[#This Row],['#support.saison]]=saison_en_cours,1,"")</f>
        <v>1</v>
      </c>
      <c r="D183" t="s">
        <v>7</v>
      </c>
      <c r="E183" t="s">
        <v>169</v>
      </c>
      <c r="G183" s="10">
        <v>1</v>
      </c>
      <c r="J183" s="23"/>
      <c r="K183" s="23"/>
      <c r="P183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Bon Jean</v>
      </c>
      <c r="Q183" s="7">
        <f>IF(suivi[[#This Row],['#support.nom]]="","",COUNTIF(suivi['#support.nom],suivi[[#This Row],['#support.nom]]))</f>
        <v>98</v>
      </c>
      <c r="T183" s="1"/>
      <c r="V183" s="4"/>
      <c r="AH183" t="str" cm="1">
        <f t="array" ref="AH183">_xlfn._xlws.FILTER(saisons[nom],(saisons[debut]&lt;=suivi[[#This Row],[date]])*(saisons[fin]&gt;=suivi[[#This Row],[date]]))</f>
        <v>2025-2026</v>
      </c>
      <c r="AI183">
        <f>MIN(COUNTIFS(suivi[entree.categorie],"Evènement",suivi[entree.nom],suivi[[#This Row],[entree.nom]]),1)</f>
        <v>1</v>
      </c>
      <c r="AK183" t="str" cm="1">
        <f t="array" ref="AK183">IFERROR(_xlfn.TEXTJOIN(",",TRUE,_xlfn.UNIQUE(_xlfn._xlws.FILTER(suivi['#support.traite_manuel],(suivi[[#This Row],['#support.nom]]&lt;&gt;"")*(suivi['#support.nom]=suivi[[#This Row],['#support.nom]])))),"-")</f>
        <v/>
      </c>
    </row>
    <row r="184" spans="1:37" x14ac:dyDescent="0.25">
      <c r="A184" s="1">
        <v>46031</v>
      </c>
      <c r="B184">
        <f>ROW(suivi[[#This Row],['#support.id]])-ROW(suivi[[#Headers],['#support.saison_en_cours]])</f>
        <v>181</v>
      </c>
      <c r="C184" s="7">
        <f>IF(suivi[[#This Row],['#support.saison]]=saison_en_cours,1,"")</f>
        <v>1</v>
      </c>
      <c r="D184" t="s">
        <v>7</v>
      </c>
      <c r="E184" t="s">
        <v>169</v>
      </c>
      <c r="G184" s="10">
        <v>2</v>
      </c>
      <c r="J184" s="23"/>
      <c r="K184" s="23"/>
      <c r="P184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Dupont Marie</v>
      </c>
      <c r="Q184" s="7">
        <f>IF(suivi[[#This Row],['#support.nom]]="","",COUNTIF(suivi['#support.nom],suivi[[#This Row],['#support.nom]]))</f>
        <v>30</v>
      </c>
      <c r="T184" s="1"/>
      <c r="V184" s="4"/>
      <c r="AH184" t="str" cm="1">
        <f t="array" ref="AH184">_xlfn._xlws.FILTER(saisons[nom],(saisons[debut]&lt;=suivi[[#This Row],[date]])*(saisons[fin]&gt;=suivi[[#This Row],[date]]))</f>
        <v>2025-2026</v>
      </c>
      <c r="AI184">
        <f>MIN(COUNTIFS(suivi[entree.categorie],"Evènement",suivi[entree.nom],suivi[[#This Row],[entree.nom]]),1)</f>
        <v>1</v>
      </c>
      <c r="AK184" t="str" cm="1">
        <f t="array" ref="AK184">IFERROR(_xlfn.TEXTJOIN(",",TRUE,_xlfn.UNIQUE(_xlfn._xlws.FILTER(suivi['#support.traite_manuel],(suivi[[#This Row],['#support.nom]]&lt;&gt;"")*(suivi['#support.nom]=suivi[[#This Row],['#support.nom]])))),"-")</f>
        <v/>
      </c>
    </row>
    <row r="185" spans="1:37" x14ac:dyDescent="0.25">
      <c r="A185" s="1">
        <v>46031</v>
      </c>
      <c r="B185">
        <f>ROW(suivi[[#This Row],['#support.id]])-ROW(suivi[[#Headers],['#support.saison_en_cours]])</f>
        <v>182</v>
      </c>
      <c r="C185" s="7">
        <f>IF(suivi[[#This Row],['#support.saison]]=saison_en_cours,1,"")</f>
        <v>1</v>
      </c>
      <c r="D185" t="s">
        <v>0</v>
      </c>
      <c r="E185" t="s">
        <v>169</v>
      </c>
      <c r="F185" t="s">
        <v>195</v>
      </c>
      <c r="G185" s="10"/>
      <c r="I185" t="s">
        <v>80</v>
      </c>
      <c r="J185" s="23"/>
      <c r="K185" s="23">
        <v>-126</v>
      </c>
      <c r="P185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[suivi] Evènement_Epiphanie 2026_Galette - graines de créateurs_182</v>
      </c>
      <c r="Q185" s="7">
        <f>IF(suivi[[#This Row],['#support.nom]]="","",COUNTIF(suivi['#support.nom],suivi[[#This Row],['#support.nom]]))</f>
        <v>1</v>
      </c>
      <c r="T185" s="1"/>
      <c r="V185" s="4"/>
      <c r="AH185" t="str" cm="1">
        <f t="array" ref="AH185">_xlfn._xlws.FILTER(saisons[nom],(saisons[debut]&lt;=suivi[[#This Row],[date]])*(saisons[fin]&gt;=suivi[[#This Row],[date]]))</f>
        <v>2025-2026</v>
      </c>
      <c r="AI185">
        <f>MIN(COUNTIFS(suivi[entree.categorie],"Evènement",suivi[entree.nom],suivi[[#This Row],[entree.nom]]),1)</f>
        <v>1</v>
      </c>
      <c r="AK185" t="str" cm="1">
        <f t="array" ref="AK185">IFERROR(_xlfn.TEXTJOIN(",",TRUE,_xlfn.UNIQUE(_xlfn._xlws.FILTER(suivi['#support.traite_manuel],(suivi[[#This Row],['#support.nom]]&lt;&gt;"")*(suivi['#support.nom]=suivi[[#This Row],['#support.nom]])))),"-")</f>
        <v/>
      </c>
    </row>
    <row r="186" spans="1:37" x14ac:dyDescent="0.25">
      <c r="A186" s="1">
        <v>46031</v>
      </c>
      <c r="B186">
        <f>ROW(suivi[[#This Row],['#support.id]])-ROW(suivi[[#Headers],['#support.saison_en_cours]])</f>
        <v>183</v>
      </c>
      <c r="C186" s="7">
        <f>IF(suivi[[#This Row],['#support.saison]]=saison_en_cours,1,"")</f>
        <v>1</v>
      </c>
      <c r="D186" t="s">
        <v>0</v>
      </c>
      <c r="E186" t="s">
        <v>169</v>
      </c>
      <c r="F186" t="s">
        <v>196</v>
      </c>
      <c r="G186" s="10"/>
      <c r="I186" t="s">
        <v>80</v>
      </c>
      <c r="J186" s="23"/>
      <c r="K186" s="23">
        <v>-43.49</v>
      </c>
      <c r="P186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[suivi] Evènement_Epiphanie 2026_Boissons &amp; Consommables - Leclerc_183</v>
      </c>
      <c r="Q186" s="7">
        <f>IF(suivi[[#This Row],['#support.nom]]="","",COUNTIF(suivi['#support.nom],suivi[[#This Row],['#support.nom]]))</f>
        <v>1</v>
      </c>
      <c r="T186" s="1"/>
      <c r="V186" s="4"/>
      <c r="AH186" t="str" cm="1">
        <f t="array" ref="AH186">_xlfn._xlws.FILTER(saisons[nom],(saisons[debut]&lt;=suivi[[#This Row],[date]])*(saisons[fin]&gt;=suivi[[#This Row],[date]]))</f>
        <v>2025-2026</v>
      </c>
      <c r="AI186">
        <f>MIN(COUNTIFS(suivi[entree.categorie],"Evènement",suivi[entree.nom],suivi[[#This Row],[entree.nom]]),1)</f>
        <v>1</v>
      </c>
      <c r="AK186" t="str" cm="1">
        <f t="array" ref="AK186">IFERROR(_xlfn.TEXTJOIN(",",TRUE,_xlfn.UNIQUE(_xlfn._xlws.FILTER(suivi['#support.traite_manuel],(suivi[[#This Row],['#support.nom]]&lt;&gt;"")*(suivi['#support.nom]=suivi[[#This Row],['#support.nom]])))),"-")</f>
        <v/>
      </c>
    </row>
    <row r="187" spans="1:37" x14ac:dyDescent="0.25">
      <c r="A187" s="1">
        <v>46031</v>
      </c>
      <c r="B187">
        <f>ROW(suivi[[#This Row],['#support.id]])-ROW(suivi[[#Headers],['#support.saison_en_cours]])</f>
        <v>184</v>
      </c>
      <c r="C187" s="7">
        <f>IF(suivi[[#This Row],['#support.saison]]=saison_en_cours,1,"")</f>
        <v>1</v>
      </c>
      <c r="D187" t="s">
        <v>0</v>
      </c>
      <c r="E187" t="s">
        <v>169</v>
      </c>
      <c r="G187" s="10"/>
      <c r="J187" s="23"/>
      <c r="K187" s="23"/>
      <c r="P187" t="str">
        <f>IF(suivi[[#This Row],[membre.id]]&lt;&gt;"",
INDEX(annuaire[nom_userfriendly],MATCH(suivi[[#This Row],[membre.id]],annuaire[id],0)),
_xlfn.LET(
_xlpm.identite,IF(suivi[[#This Row],[membre.prive.nom]]&lt;&gt;"",PROPER(suivi[[#This Row],[membre.prive.nom]])&amp;IF(suivi[[#This Row],[membre.prive.prenom]]&lt;&gt;""," "&amp;PROPER(suivi[[#This Row],[membre.prive.prenom]]),""),
         IF(suivi[[#This Row],[membre.prive.pseudo_discord]]&lt;&gt;"","[discord] "&amp;suivi[[#This Row],[membre.prive.pseudo_discord]]&amp;IF(suivi[[#This Row],[membre.prive.prenom]]&lt;&gt;""," ("&amp;PROPER(suivi[[#This Row],[membre.prive.prenom]])&amp;")",""),
         IF(suivi[[#This Row],[membre.prive.'[emails']]]&lt;&gt;"","[email] "&amp;suivi[[#This Row],[membre.prive.'[emails']]]&amp;IF(suivi[[#This Row],[membre.prive.prenom]]&lt;&gt;""," ("&amp;PROPER(suivi[[#This Row],[membre.prive.prenom]])&amp;")",""),
         IF(suivi[[#This Row],[membre.prive.prenom]]&lt;&gt;"",PROPER(suivi[[#This Row],[membre.prive.prenom]]),"")))),
_xlpm.identite_substitut,"[suivi] "&amp;_xlfn.TEXTJOIN("_",TRUE,suivi[[#This Row],[entree.categorie]:[entree.detail]],suivi[[#This Row],['#support.id]]),
IF(_xlpm.identite="",_xlpm.identite_substitut,_xlpm.identite)
)
)</f>
        <v>[suivi] Evènement_Epiphanie 2026_184</v>
      </c>
      <c r="Q187" s="7">
        <f>IF(suivi[[#This Row],['#support.nom]]="","",COUNTIF(suivi['#support.nom],suivi[[#This Row],['#support.nom]]))</f>
        <v>1</v>
      </c>
      <c r="T187" s="1"/>
      <c r="V187" s="4"/>
      <c r="AH187" t="str" cm="1">
        <f t="array" ref="AH187">_xlfn._xlws.FILTER(saisons[nom],(saisons[debut]&lt;=suivi[[#This Row],[date]])*(saisons[fin]&gt;=suivi[[#This Row],[date]]))</f>
        <v>2025-2026</v>
      </c>
      <c r="AI187">
        <f>MIN(COUNTIFS(suivi[entree.categorie],"Evènement",suivi[entree.nom],suivi[[#This Row],[entree.nom]]),1)</f>
        <v>1</v>
      </c>
      <c r="AK187" t="str" cm="1">
        <f t="array" ref="AK187">IFERROR(_xlfn.TEXTJOIN(",",TRUE,_xlfn.UNIQUE(_xlfn._xlws.FILTER(suivi['#support.traite_manuel],(suivi[[#This Row],['#support.nom]]&lt;&gt;"")*(suivi['#support.nom]=suivi[[#This Row],['#support.nom]])))),"-")</f>
        <v/>
      </c>
    </row>
  </sheetData>
  <phoneticPr fontId="2" type="noConversion"/>
  <conditionalFormatting sqref="A1:XFD1048576">
    <cfRule type="expression" dxfId="3" priority="5">
      <formula>_xlfn.ISFORMULA(A1)</formula>
    </cfRule>
  </conditionalFormatting>
  <dataValidations count="9">
    <dataValidation type="list" allowBlank="1" showInputMessage="1" showErrorMessage="1" sqref="E1" xr:uid="{5DE82082-B9BC-42ED-A770-072331C18022}">
      <formula1>INDIRECT("nom_userfriendly#")</formula1>
    </dataValidation>
    <dataValidation type="list" allowBlank="1" showInputMessage="1" showErrorMessage="1" sqref="X4:X187" xr:uid="{0D1B1BAB-D4DA-4D0E-8B97-1C694200A5BD}">
      <formula1>INDIRECT("type_voie")</formula1>
    </dataValidation>
    <dataValidation type="list" allowBlank="1" showInputMessage="1" showErrorMessage="1" sqref="AG4:AG187" xr:uid="{6E10122B-8D26-4E1A-8D79-19CA78AB0968}">
      <formula1>INDIRECT("connaissance")</formula1>
    </dataValidation>
    <dataValidation type="list" allowBlank="1" showInputMessage="1" showErrorMessage="1" sqref="D4:D187" xr:uid="{1834B9BA-1BE1-4EBF-9CF5-379A7B77F0EC}">
      <formula1>INDIRECT("categories")</formula1>
    </dataValidation>
    <dataValidation type="list" allowBlank="1" showInputMessage="1" showErrorMessage="1" sqref="H4:H187" xr:uid="{A802BCC9-9AB4-4339-97D4-DAF3036B2B7F}">
      <formula1>INDIRECT("roles[asso]")</formula1>
    </dataValidation>
    <dataValidation type="list" allowBlank="1" showInputMessage="1" showErrorMessage="1" sqref="I4:I187" xr:uid="{DCF2DE68-5017-4E04-9D45-CA142F7CC254}">
      <formula1>INDIRECT("compte")</formula1>
    </dataValidation>
    <dataValidation type="list" allowBlank="1" showInputMessage="1" showErrorMessage="1" sqref="E4:E187" xr:uid="{7AEE2518-C9DC-4B0E-9BA3-41EB43EA2C1A}">
      <formula1>INDIRECT("activites#")</formula1>
    </dataValidation>
    <dataValidation type="whole" allowBlank="1" showInputMessage="1" showErrorMessage="1" sqref="G4:G187" xr:uid="{B44037A7-3853-4DBF-8E4F-4461E86D0C32}">
      <formula1>1</formula1>
      <formula2>$H$1</formula2>
    </dataValidation>
    <dataValidation type="list" allowBlank="1" showInputMessage="1" showErrorMessage="1" sqref="M4:M187" xr:uid="{4B2BA544-F451-4F4A-8664-25A6C9AAC43F}">
      <formula1>INDIRECT("contribution")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E1944-AC83-48FF-AAE1-6953EF63C65F}">
  <sheetPr>
    <tabColor theme="9"/>
  </sheetPr>
  <dimension ref="A1:AF21"/>
  <sheetViews>
    <sheetView zoomScale="85" zoomScaleNormal="8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9.140625" defaultRowHeight="15" x14ac:dyDescent="0.25"/>
  <cols>
    <col min="1" max="1" width="8.7109375" bestFit="1" customWidth="1"/>
    <col min="2" max="2" width="15.140625" bestFit="1" customWidth="1"/>
    <col min="3" max="3" width="17" bestFit="1" customWidth="1"/>
    <col min="4" max="4" width="16.140625" bestFit="1" customWidth="1"/>
    <col min="5" max="5" width="17" bestFit="1" customWidth="1"/>
    <col min="6" max="6" width="58.85546875" bestFit="1" customWidth="1"/>
    <col min="7" max="7" width="15.5703125" bestFit="1" customWidth="1"/>
    <col min="8" max="8" width="17.85546875" bestFit="1" customWidth="1"/>
    <col min="9" max="9" width="19.85546875" bestFit="1" customWidth="1"/>
    <col min="10" max="10" width="23.28515625" bestFit="1" customWidth="1"/>
    <col min="11" max="11" width="23.7109375" bestFit="1" customWidth="1"/>
    <col min="12" max="12" width="12.7109375" bestFit="1" customWidth="1"/>
    <col min="13" max="13" width="18.85546875" bestFit="1" customWidth="1"/>
    <col min="14" max="14" width="20.7109375" bestFit="1" customWidth="1"/>
    <col min="15" max="15" width="17.28515625" bestFit="1" customWidth="1"/>
    <col min="16" max="16" width="37.85546875" bestFit="1" customWidth="1"/>
    <col min="17" max="17" width="15" bestFit="1" customWidth="1"/>
    <col min="18" max="18" width="15" customWidth="1"/>
    <col min="19" max="19" width="20.7109375" bestFit="1" customWidth="1"/>
    <col min="20" max="20" width="19.140625" bestFit="1" customWidth="1"/>
    <col min="21" max="21" width="18.7109375" bestFit="1" customWidth="1"/>
    <col min="22" max="22" width="17.7109375" bestFit="1" customWidth="1"/>
    <col min="23" max="23" width="13.5703125" customWidth="1"/>
    <col min="24" max="25" width="17.42578125" customWidth="1"/>
    <col min="26" max="26" width="27.85546875" customWidth="1"/>
    <col min="27" max="27" width="29.28515625" customWidth="1"/>
    <col min="28" max="28" width="25.28515625" customWidth="1"/>
    <col min="29" max="29" width="16.28515625" customWidth="1"/>
    <col min="30" max="30" width="8.7109375" customWidth="1"/>
    <col min="33" max="33" width="20.85546875" customWidth="1"/>
  </cols>
  <sheetData>
    <row r="1" spans="1:32" x14ac:dyDescent="0.25">
      <c r="A1" t="s">
        <v>26</v>
      </c>
      <c r="B1" t="s">
        <v>45</v>
      </c>
      <c r="C1" t="s">
        <v>8</v>
      </c>
      <c r="D1" t="s">
        <v>9</v>
      </c>
      <c r="E1" t="s">
        <v>27</v>
      </c>
      <c r="F1" t="s">
        <v>60</v>
      </c>
      <c r="G1" t="s">
        <v>59</v>
      </c>
      <c r="H1" s="4" t="s">
        <v>10</v>
      </c>
      <c r="I1" t="s">
        <v>29</v>
      </c>
      <c r="J1" t="s">
        <v>38</v>
      </c>
      <c r="K1" t="s">
        <v>39</v>
      </c>
      <c r="L1" t="s">
        <v>11</v>
      </c>
      <c r="M1" t="s">
        <v>12</v>
      </c>
      <c r="N1" t="s">
        <v>44</v>
      </c>
      <c r="O1" t="s">
        <v>28</v>
      </c>
      <c r="P1" t="s">
        <v>46</v>
      </c>
      <c r="Q1" t="s">
        <v>55</v>
      </c>
      <c r="R1" t="s">
        <v>136</v>
      </c>
      <c r="S1" t="s">
        <v>56</v>
      </c>
      <c r="T1" t="s">
        <v>57</v>
      </c>
      <c r="U1" t="s">
        <v>58</v>
      </c>
      <c r="V1" t="s">
        <v>51</v>
      </c>
      <c r="W1" t="s">
        <v>52</v>
      </c>
      <c r="X1" t="s">
        <v>95</v>
      </c>
      <c r="Y1" t="s">
        <v>112</v>
      </c>
      <c r="Z1" t="s">
        <v>53</v>
      </c>
      <c r="AA1" t="s">
        <v>84</v>
      </c>
      <c r="AB1" t="s">
        <v>83</v>
      </c>
      <c r="AC1" t="s">
        <v>82</v>
      </c>
      <c r="AD1" t="s">
        <v>54</v>
      </c>
      <c r="AE1" t="s">
        <v>89</v>
      </c>
      <c r="AF1" t="s">
        <v>107</v>
      </c>
    </row>
    <row r="2" spans="1:32" x14ac:dyDescent="0.25">
      <c r="A2" s="10">
        <v>1</v>
      </c>
      <c r="B2" s="1">
        <f>_xlfn.MINIFS(suivi[date],suivi[membre.id],annuaire[[#This Row],[id]])</f>
        <v>43716</v>
      </c>
      <c r="C2" t="str" cm="1">
        <f t="array" ref="C2">_xlfn.LET(_xlpm.champ,suivi[membre.prive.nom],
_xlpm.liste_unique,IFERROR(_xlfn.UNIQUE(_xlfn._xlws.FILTER(_xlpm.champ,(_xlpm.champ&lt;&gt;"")*(suivi[membre.id]=annuaire[[#This Row],[id]]))),""),
INDEX(_xlpm.liste_unique,ROWS(_xlpm.liste_unique)))</f>
        <v>Bon</v>
      </c>
      <c r="D2" t="str" cm="1">
        <f t="array" ref="D2">_xlfn.LET(_xlpm.champ,suivi[membre.prive.prenom],
_xlpm.liste_unique,IFERROR(_xlfn.UNIQUE(_xlfn._xlws.FILTER(_xlpm.champ,(_xlpm.champ&lt;&gt;"")*(suivi[membre.id]=annuaire[[#This Row],[id]]))),""),
INDEX(_xlpm.liste_unique,ROWS(_xlpm.liste_unique)))</f>
        <v>Jean</v>
      </c>
      <c r="E2" s="1" cm="1">
        <f t="array" ref="E2">_xlfn.LET(_xlpm.champ,suivi[membre.prive.date_naissance],
_xlpm.liste_unique,IFERROR(_xlfn.UNIQUE(_xlfn._xlws.FILTER(_xlpm.champ,(_xlpm.champ&lt;&gt;"")*(suivi[membre.id]=annuaire[[#This Row],[id]]))),""),
INDEX(_xlpm.liste_unique,ROWS(_xlpm.liste_unique)))</f>
        <v>35431</v>
      </c>
      <c r="F2" s="3" t="str" cm="1">
        <f t="array" ref="F2">_xlfn.LET(_xlpm.champ,suivi[membre.prive.'[emails']],
_xlpm.liste_unique,IFERROR(_xlfn.UNIQUE(_xlfn._xlws.FILTER(_xlpm.champ,(_xlpm.champ&lt;&gt;"")*(suivi[membre.id]=annuaire[[#This Row],[id]]))),""),
INDEX(_xlpm.liste_unique,ROWS(_xlpm.liste_unique)))</f>
        <v>jean.bon@porci.net</v>
      </c>
      <c r="G2" cm="1">
        <f t="array" ref="G2">_xlfn.LET(_xlpm.champ,suivi[membre.prive.'[telephone']],
_xlpm.liste_unique,IFERROR(_xlfn.UNIQUE(_xlfn._xlws.FILTER(_xlpm.champ,(_xlpm.champ&lt;&gt;"")*(suivi[membre.id]=annuaire[[#This Row],[id]]))),""),
INDEX(_xlpm.liste_unique,ROWS(_xlpm.liste_unique)))</f>
        <v>601020304</v>
      </c>
      <c r="H2" cm="1">
        <f t="array" ref="H2">_xlfn.LET(_xlpm.champ,suivi[membre.prive.adresse.numero],
_xlpm.liste_unique,IFERROR(_xlfn.UNIQUE(_xlfn._xlws.FILTER(_xlpm.champ,(_xlpm.champ&lt;&gt;"")*(suivi[membre.id]=annuaire[[#This Row],[id]]))),""),
INDEX(_xlpm.liste_unique,ROWS(_xlpm.liste_unique)))</f>
        <v>1</v>
      </c>
      <c r="I2" t="str" cm="1">
        <f t="array" ref="I2">_xlfn.LET(_xlpm.champ,suivi[membre.prive.adresse.type_voie],
_xlpm.liste_unique,IFERROR(_xlfn.UNIQUE(_xlfn._xlws.FILTER(_xlpm.champ,(_xlpm.champ&lt;&gt;"")*(suivi[membre.id]=annuaire[[#This Row],[id]]))),""),
INDEX(_xlpm.liste_unique,ROWS(_xlpm.liste_unique)))</f>
        <v>rue</v>
      </c>
      <c r="J2" t="str" cm="1">
        <f t="array" ref="J2">_xlfn.LET(_xlpm.champ,suivi[membre.prive.adresse.nom_voie],
_xlpm.liste_unique,IFERROR(_xlfn.UNIQUE(_xlfn._xlws.FILTER(_xlpm.champ,(_xlpm.champ&lt;&gt;"")*(suivi[membre.id]=annuaire[[#This Row],[id]]))),""),
INDEX(_xlpm.liste_unique,ROWS(_xlpm.liste_unique)))</f>
        <v>de l'abatoir</v>
      </c>
      <c r="K2" t="str" cm="1">
        <f t="array" ref="K2">_xlfn.LET(_xlpm.champ,suivi[membre.prive.adresse.autre],
_xlpm.liste_unique,IFERROR(_xlfn.UNIQUE(_xlfn._xlws.FILTER(_xlpm.champ,(_xlpm.champ&lt;&gt;"")*(suivi[membre.id]=annuaire[[#This Row],[id]]))),""),
INDEX(_xlpm.liste_unique,ROWS(_xlpm.liste_unique)))</f>
        <v>Appt 2</v>
      </c>
      <c r="L2" cm="1">
        <f t="array" ref="L2">_xlfn.LET(_xlpm.champ,suivi[membre.prive.adresse.cp],
_xlpm.liste_unique,IFERROR(_xlfn.UNIQUE(_xlfn._xlws.FILTER(_xlpm.champ,(_xlpm.champ&lt;&gt;"")*(suivi[membre.id]=annuaire[[#This Row],[id]]))),""),
INDEX(_xlpm.liste_unique,ROWS(_xlpm.liste_unique)))</f>
        <v>12345</v>
      </c>
      <c r="M2" s="5" t="str" cm="1">
        <f t="array" ref="M2">_xlfn.LET(_xlpm.champ,suivi[membre.prive.adresse.ville],
_xlpm.liste_unique,IFERROR(_xlfn.UNIQUE(_xlfn._xlws.FILTER(_xlpm.champ,(_xlpm.champ&lt;&gt;"")*(suivi[membre.id]=annuaire[[#This Row],[id]]))),""),
INDEX(_xlpm.liste_unique,ROWS(_xlpm.liste_unique)))</f>
        <v>Ailleurs</v>
      </c>
      <c r="N2" t="str" cm="1">
        <f t="array" ref="N2">_xlfn.LET(_xlpm.champ,suivi[membre.prive.pseudo_discord],
_xlpm.liste_unique,IFERROR(_xlfn.UNIQUE(_xlfn._xlws.FILTER(_xlpm.champ,(_xlpm.champ&lt;&gt;"")*(suivi[membre.id]=annuaire[[#This Row],[id]]))),""),
INDEX(_xlpm.liste_unique,ROWS(_xlpm.liste_unique)))</f>
        <v>vbrett</v>
      </c>
      <c r="O2" t="str" cm="1">
        <f t="array" ref="O2">_xlfn.LET(_xlpm.champ,suivi[membre.source_connaissance],
_xlpm.liste_unique,IFERROR(_xlfn.UNIQUE(_xlfn._xlws.FILTER(_xlpm.champ,(_xlpm.champ&lt;&gt;"")*(suivi[membre.id]=annuaire[[#This Row],[id]]))),""),
INDEX(_xlpm.liste_unique,ROWS(_xlpm.liste_unique)))</f>
        <v>Bouche à oreille</v>
      </c>
      <c r="P2" t="str">
        <f>IF(annuaire[[#This Row],[nom]]&lt;&gt;"",PROPER(annuaire[[#This Row],[nom]])&amp;IF(annuaire[[#This Row],[prenom]]&lt;&gt;""," "&amp;PROPER(annuaire[[#This Row],[prenom]]),""),
IF(annuaire[[#This Row],[pseudo_discord]]&lt;&gt;"","[discord] "&amp;annuaire[[#This Row],[pseudo_discord]]&amp;IF(annuaire[[#This Row],[prenom]]&lt;&gt;""," ("&amp;PROPER(annuaire[[#This Row],[prenom]])&amp;")",""),
IF(annuaire[[#This Row],[emails]]&lt;&gt;"","[email] "&amp;annuaire[[#This Row],[emails]]&amp;IF(annuaire[[#This Row],[prenom]]&lt;&gt;""," ("&amp;PROPER(annuaire[[#This Row],[prenom]])&amp;")",""),
IF(annuaire[[#This Row],[prenom]]&lt;&gt;"",PROPER(annuaire[[#This Row],[prenom]]),"AJ-"&amp;TEXT(annuaire[[#This Row],[id]],"00000")))))</f>
        <v>Bon Jean</v>
      </c>
      <c r="Q2" s="8">
        <f>COUNTIFS(suivi[entree.categorie],cotisation,suivi[membre.id],annuaire[[#This Row],[id]])</f>
        <v>7</v>
      </c>
      <c r="R2" s="9">
        <f>_xlfn.LET(_xlpm.der_pres,_xlfn.MINIFS(suivi[date],suivi[entree.categorie],cotisation,suivi[membre.id],annuaire[[#This Row],[id]]),
IF(_xlpm.der_pres=0,"",_xlpm.der_pres))</f>
        <v>43728</v>
      </c>
      <c r="S2" s="9">
        <f>_xlfn.LET(_xlpm.der_pres,_xlfn.MAXIFS(suivi[date],suivi[entree.categorie],cotisation,suivi[membre.id],annuaire[[#This Row],[id]]),
IF(_xlpm.der_pres=0,"",_xlpm.der_pres))</f>
        <v>45913</v>
      </c>
      <c r="T2" s="8">
        <f>COUNTIFS(suivi[entree.categorie],presence,suivi[membre.id],annuaire[[#This Row],[id]])</f>
        <v>85</v>
      </c>
      <c r="U2" s="9">
        <f>_xlfn.MAXIFS(suivi[date],suivi[membre.id],annuaire[[#This Row],[id]])</f>
        <v>46031</v>
      </c>
      <c r="V2" s="8">
        <f>COUNTIFS(suivi[entree.categorie],presence,suivi[membre.id],annuaire[[#This Row],[id]],suivi['#support.saison_en_cours],1)</f>
        <v>17</v>
      </c>
      <c r="W2" s="8">
        <f>IF(COUNTIFS(suivi[entree.categorie],cotisation,suivi[membre.id],annuaire[[#This Row],[id]],suivi['#support.saison_en_cours],1)&gt;0,1,0)</f>
        <v>1</v>
      </c>
      <c r="X2" t="b">
        <f ca="1">IF(annuaire[[#This Row],[stats.cotis.derniere]]="",FALSE,
_xlfn.LET(
_xlpm.derniere_cotis_nb_mois,ROUNDDOWN((saison_debut-annuaire[[#This Row],[stats.cotis.derniere]])/30,1),
_xlpm.derniere_cotis_saison_precedente,AND(_xlpm.derniere_cotis_nb_mois&gt;0,_xlpm.derniere_cotis_nb_mois&lt;13),
_xlpm.nouvelle_saison_depuismoins2mois,(TODAY()-saison_debut)/30&lt;3,
AND(_xlpm.derniere_cotis_saison_precedente,_xlpm.nouvelle_saison_depuismoins2mois)
)
)</f>
        <v>0</v>
      </c>
      <c r="Y2" t="str" cm="1">
        <f t="array" ref="Y2">IFERROR(_xlfn.LET(_xlpm.filtre_table_suivi_saison_role,(suivi[membre.asso_role]&lt;&gt;"")*(suivi['#support.saison_en_cours]=1),
                                             _xlpm.nomination_saison_id,_xlfn._xlws.FILTER(suivi[membre.id],_xlpm.filtre_table_suivi_saison_role),
                                             _xlpm.nomination_saison_role,_xlfn._xlws.FILTER(suivi[membre.asso_role],_xlpm.filtre_table_suivi_saison_role),
                                             INDEX(_xlpm.nomination_saison_role,MATCH(annuaire[[#This Row],[id]],_xlpm.nomination_saison_id,0))),
                                         "")</f>
        <v>Bureau - Trésorier</v>
      </c>
      <c r="Z2" t="str">
        <f>IF(annuaire[[#This Row],[saison.asso_role_manuel]]&lt;&gt;"",annuaire[[#This Row],[saison.asso_role_manuel]],
IF(annuaire[[#This Row],[saison.cotis]]&gt;0,cotisant,
IF(annuaire[[#This Row],[saison.precedente]],cotisant_saison_prec,
"")))</f>
        <v>Bureau - Trésorier</v>
      </c>
      <c r="AA2" t="str" cm="1">
        <f t="array" ref="AA2">_xlfn.LET(_xlpm.champ,suivi[membre.prive.approbation_statuts],
_xlpm.liste_unique,IFERROR(_xlfn.UNIQUE(_xlfn._xlws.FILTER(_xlpm.champ,(suivi['#support.saison_en_cours]=1)*(_xlpm.champ&lt;&gt;"")*(suivi[membre.id]=annuaire[[#This Row],[id]]))),""),
INDEX(_xlpm.liste_unique,ROWS(_xlpm.liste_unique)))</f>
        <v/>
      </c>
      <c r="AB2" t="str" cm="1">
        <f t="array" ref="AB2">_xlfn.LET(_xlpm.champ,suivi[membre.prive.assurance_resp_civile],
_xlpm.liste_unique,IFERROR(_xlfn.UNIQUE(_xlfn._xlws.FILTER(_xlpm.champ,(suivi['#support.saison_en_cours]=1)*(_xlpm.champ&lt;&gt;"")*(suivi[membre.id]=annuaire[[#This Row],[id]]))),""),
INDEX(_xlpm.liste_unique,ROWS(_xlpm.liste_unique)))</f>
        <v/>
      </c>
      <c r="AC2" t="str" cm="1">
        <f t="array" ref="AC2">_xlfn.LET(_xlpm.champ,suivi[membre.prive.utilisation_image],
_xlpm.liste_unique,IFERROR(_xlfn.UNIQUE(_xlfn._xlws.FILTER(_xlpm.champ,(suivi['#support.saison_en_cours]=1)*(_xlpm.champ&lt;&gt;"")*(suivi[membre.id]=annuaire[[#This Row],[id]]))),""),
INDEX(_xlpm.liste_unique,ROWS(_xlpm.liste_unique)))</f>
        <v/>
      </c>
      <c r="AD2">
        <f ca="1">IF(OR(annuaire[[#This Row],[saison.cotis]]=1,annuaire[[#This Row],[stats.der_activite]]&gt;EDATE(TODAY(),-12)),1,"")</f>
        <v>1</v>
      </c>
      <c r="AE2" s="7" t="str">
        <f>IF(annuaire[[#This Row],[saison.presence]]=0,"",IF(annuaire[[#This Row],[saison.cotis]]=1," ", annuaire[[#This Row],[saison.presence]]))</f>
        <v xml:space="preserve"> </v>
      </c>
      <c r="AF2" t="e">
        <f>IF(annuaire[[#This Row],[pseudo_discord]]="","",MATCH(annuaire[[#This Row],[pseudo_discord]],#REF!,0))</f>
        <v>#REF!</v>
      </c>
    </row>
    <row r="3" spans="1:32" x14ac:dyDescent="0.25">
      <c r="A3" s="10">
        <v>2</v>
      </c>
      <c r="B3" s="1">
        <f>_xlfn.MINIFS(suivi[date],suivi[membre.id],annuaire[[#This Row],[id]])</f>
        <v>42370</v>
      </c>
      <c r="C3" t="str" cm="1">
        <f t="array" ref="C3">_xlfn.LET(_xlpm.champ,suivi[membre.prive.nom],
_xlpm.liste_unique,IFERROR(_xlfn.UNIQUE(_xlfn._xlws.FILTER(_xlpm.champ,(_xlpm.champ&lt;&gt;"")*(suivi[membre.id]=annuaire[[#This Row],[id]]))),""),
INDEX(_xlpm.liste_unique,ROWS(_xlpm.liste_unique)))</f>
        <v>Dupont</v>
      </c>
      <c r="D3" t="str" cm="1">
        <f t="array" ref="D3">_xlfn.LET(_xlpm.champ,suivi[membre.prive.prenom],
_xlpm.liste_unique,IFERROR(_xlfn.UNIQUE(_xlfn._xlws.FILTER(_xlpm.champ,(_xlpm.champ&lt;&gt;"")*(suivi[membre.id]=annuaire[[#This Row],[id]]))),""),
INDEX(_xlpm.liste_unique,ROWS(_xlpm.liste_unique)))</f>
        <v>Marie</v>
      </c>
      <c r="E3" s="1" cm="1">
        <f t="array" ref="E3">_xlfn.LET(_xlpm.champ,suivi[membre.prive.date_naissance],
_xlpm.liste_unique,IFERROR(_xlfn.UNIQUE(_xlfn._xlws.FILTER(_xlpm.champ,(_xlpm.champ&lt;&gt;"")*(suivi[membre.id]=annuaire[[#This Row],[id]]))),""),
INDEX(_xlpm.liste_unique,ROWS(_xlpm.liste_unique)))</f>
        <v>29435</v>
      </c>
      <c r="F3" s="3" t="str" cm="1">
        <f t="array" ref="F3">_xlfn.LET(_xlpm.champ,suivi[membre.prive.'[emails']],
_xlpm.liste_unique,IFERROR(_xlfn.UNIQUE(_xlfn._xlws.FILTER(_xlpm.champ,(_xlpm.champ&lt;&gt;"")*(suivi[membre.id]=annuaire[[#This Row],[id]]))),""),
INDEX(_xlpm.liste_unique,ROWS(_xlpm.liste_unique)))</f>
        <v/>
      </c>
      <c r="G3" cm="1">
        <f t="array" ref="G3">_xlfn.LET(_xlpm.champ,suivi[membre.prive.'[telephone']],
_xlpm.liste_unique,IFERROR(_xlfn.UNIQUE(_xlfn._xlws.FILTER(_xlpm.champ,(_xlpm.champ&lt;&gt;"")*(suivi[membre.id]=annuaire[[#This Row],[id]]))),""),
INDEX(_xlpm.liste_unique,ROWS(_xlpm.liste_unique)))</f>
        <v>601020304</v>
      </c>
      <c r="H3" t="str" cm="1">
        <f t="array" ref="H3">_xlfn.LET(_xlpm.champ,suivi[membre.prive.adresse.numero],
_xlpm.liste_unique,IFERROR(_xlfn.UNIQUE(_xlfn._xlws.FILTER(_xlpm.champ,(_xlpm.champ&lt;&gt;"")*(suivi[membre.id]=annuaire[[#This Row],[id]]))),""),
INDEX(_xlpm.liste_unique,ROWS(_xlpm.liste_unique)))</f>
        <v/>
      </c>
      <c r="I3" s="2" t="str" cm="1">
        <f t="array" ref="I3">_xlfn.LET(_xlpm.champ,suivi[membre.prive.adresse.type_voie],
_xlpm.liste_unique,IFERROR(_xlfn.UNIQUE(_xlfn._xlws.FILTER(_xlpm.champ,(_xlpm.champ&lt;&gt;"")*(suivi[membre.id]=annuaire[[#This Row],[id]]))),""),
INDEX(_xlpm.liste_unique,ROWS(_xlpm.liste_unique)))</f>
        <v/>
      </c>
      <c r="J3" t="str" cm="1">
        <f t="array" ref="J3">_xlfn.LET(_xlpm.champ,suivi[membre.prive.adresse.nom_voie],
_xlpm.liste_unique,IFERROR(_xlfn.UNIQUE(_xlfn._xlws.FILTER(_xlpm.champ,(_xlpm.champ&lt;&gt;"")*(suivi[membre.id]=annuaire[[#This Row],[id]]))),""),
INDEX(_xlpm.liste_unique,ROWS(_xlpm.liste_unique)))</f>
        <v/>
      </c>
      <c r="K3" t="str" cm="1">
        <f t="array" ref="K3">_xlfn.LET(_xlpm.champ,suivi[membre.prive.adresse.autre],
_xlpm.liste_unique,IFERROR(_xlfn.UNIQUE(_xlfn._xlws.FILTER(_xlpm.champ,(_xlpm.champ&lt;&gt;"")*(suivi[membre.id]=annuaire[[#This Row],[id]]))),""),
INDEX(_xlpm.liste_unique,ROWS(_xlpm.liste_unique)))</f>
        <v/>
      </c>
      <c r="L3" t="str" cm="1">
        <f t="array" ref="L3">_xlfn.LET(_xlpm.champ,suivi[membre.prive.adresse.cp],
_xlpm.liste_unique,IFERROR(_xlfn.UNIQUE(_xlfn._xlws.FILTER(_xlpm.champ,(_xlpm.champ&lt;&gt;"")*(suivi[membre.id]=annuaire[[#This Row],[id]]))),""),
INDEX(_xlpm.liste_unique,ROWS(_xlpm.liste_unique)))</f>
        <v/>
      </c>
      <c r="M3" s="5" t="str" cm="1">
        <f t="array" ref="M3">_xlfn.LET(_xlpm.champ,suivi[membre.prive.adresse.ville],
_xlpm.liste_unique,IFERROR(_xlfn.UNIQUE(_xlfn._xlws.FILTER(_xlpm.champ,(_xlpm.champ&lt;&gt;"")*(suivi[membre.id]=annuaire[[#This Row],[id]]))),""),
INDEX(_xlpm.liste_unique,ROWS(_xlpm.liste_unique)))</f>
        <v/>
      </c>
      <c r="N3" t="str" cm="1">
        <f t="array" ref="N3">_xlfn.LET(_xlpm.champ,suivi[membre.prive.pseudo_discord],
_xlpm.liste_unique,IFERROR(_xlfn.UNIQUE(_xlfn._xlws.FILTER(_xlpm.champ,(_xlpm.champ&lt;&gt;"")*(suivi[membre.id]=annuaire[[#This Row],[id]]))),""),
INDEX(_xlpm.liste_unique,ROWS(_xlpm.liste_unique)))</f>
        <v>AjBot</v>
      </c>
      <c r="O3" t="str" cm="1">
        <f t="array" ref="O3">_xlfn.LET(_xlpm.champ,suivi[membre.source_connaissance],
_xlpm.liste_unique,IFERROR(_xlfn.UNIQUE(_xlfn._xlws.FILTER(_xlpm.champ,(_xlpm.champ&lt;&gt;"")*(suivi[membre.id]=annuaire[[#This Row],[id]]))),""),
INDEX(_xlpm.liste_unique,ROWS(_xlpm.liste_unique)))</f>
        <v>Forum Asso</v>
      </c>
      <c r="P3" t="str">
        <f>IF(annuaire[[#This Row],[nom]]&lt;&gt;"",PROPER(annuaire[[#This Row],[nom]])&amp;IF(annuaire[[#This Row],[prenom]]&lt;&gt;""," "&amp;PROPER(annuaire[[#This Row],[prenom]]),""),
IF(annuaire[[#This Row],[pseudo_discord]]&lt;&gt;"","[discord] "&amp;annuaire[[#This Row],[pseudo_discord]]&amp;IF(annuaire[[#This Row],[prenom]]&lt;&gt;""," ("&amp;PROPER(annuaire[[#This Row],[prenom]])&amp;")",""),
IF(annuaire[[#This Row],[emails]]&lt;&gt;"","[email] "&amp;annuaire[[#This Row],[emails]]&amp;IF(annuaire[[#This Row],[prenom]]&lt;&gt;""," ("&amp;PROPER(annuaire[[#This Row],[prenom]])&amp;")",""),
IF(annuaire[[#This Row],[prenom]]&lt;&gt;"",PROPER(annuaire[[#This Row],[prenom]]),"AJ-"&amp;TEXT(annuaire[[#This Row],[id]],"00000")))))</f>
        <v>Dupont Marie</v>
      </c>
      <c r="Q3" s="8">
        <f>COUNTIFS(suivi[entree.categorie],cotisation,suivi[membre.id],annuaire[[#This Row],[id]])</f>
        <v>2</v>
      </c>
      <c r="R3" s="9">
        <f>_xlfn.LET(_xlpm.der_pres,_xlfn.MINIFS(suivi[date],suivi[entree.categorie],cotisation,suivi[membre.id],annuaire[[#This Row],[id]]),
IF(_xlpm.der_pres=0,"",_xlpm.der_pres))</f>
        <v>45597</v>
      </c>
      <c r="S3" s="9">
        <f>_xlfn.LET(_xlpm.der_pres,_xlfn.MAXIFS(suivi[date],suivi[entree.categorie],cotisation,suivi[membre.id],annuaire[[#This Row],[id]]),
IF(_xlpm.der_pres=0,"",_xlpm.der_pres))</f>
        <v>45905</v>
      </c>
      <c r="T3" s="8">
        <f>COUNTIFS(suivi[entree.categorie],presence,suivi[membre.id],annuaire[[#This Row],[id]])</f>
        <v>26</v>
      </c>
      <c r="U3" s="9">
        <f>_xlfn.MAXIFS(suivi[date],suivi[membre.id],annuaire[[#This Row],[id]])</f>
        <v>46031</v>
      </c>
      <c r="V3" s="8">
        <f>COUNTIFS(suivi[entree.categorie],presence,suivi[membre.id],annuaire[[#This Row],[id]],suivi['#support.saison_en_cours],1)</f>
        <v>9</v>
      </c>
      <c r="W3" s="8">
        <f>IF(COUNTIFS(suivi[entree.categorie],cotisation,suivi[membre.id],annuaire[[#This Row],[id]],suivi['#support.saison_en_cours],1)&gt;0,1,0)</f>
        <v>1</v>
      </c>
      <c r="X3" t="b">
        <f ca="1">IF(annuaire[[#This Row],[stats.cotis.derniere]]="",FALSE,
_xlfn.LET(
_xlpm.derniere_cotis_nb_mois,ROUNDDOWN((saison_debut-annuaire[[#This Row],[stats.cotis.derniere]])/30,1),
_xlpm.derniere_cotis_saison_precedente,AND(_xlpm.derniere_cotis_nb_mois&gt;0,_xlpm.derniere_cotis_nb_mois&lt;13),
_xlpm.nouvelle_saison_depuismoins2mois,(TODAY()-saison_debut)/30&lt;3,
AND(_xlpm.derniere_cotis_saison_precedente,_xlpm.nouvelle_saison_depuismoins2mois)
)
)</f>
        <v>0</v>
      </c>
      <c r="Y3" t="str" cm="1">
        <f t="array" ref="Y3">IFERROR(_xlfn.LET(_xlpm.filtre_table_suivi_saison_role,(suivi[membre.asso_role]&lt;&gt;"")*(suivi['#support.saison_en_cours]=1),
                                             _xlpm.nomination_saison_id,_xlfn._xlws.FILTER(suivi[membre.id],_xlpm.filtre_table_suivi_saison_role),
                                             _xlpm.nomination_saison_role,_xlfn._xlws.FILTER(suivi[membre.asso_role],_xlpm.filtre_table_suivi_saison_role),
                                             INDEX(_xlpm.nomination_saison_role,MATCH(annuaire[[#This Row],[id]],_xlpm.nomination_saison_id,0))),
                                         "")</f>
        <v/>
      </c>
      <c r="Z3" t="str">
        <f>IF(annuaire[[#This Row],[saison.asso_role_manuel]]&lt;&gt;"",annuaire[[#This Row],[saison.asso_role_manuel]],
IF(annuaire[[#This Row],[saison.cotis]]&gt;0,cotisant,
IF(annuaire[[#This Row],[saison.precedente]],cotisant_saison_prec,
"")))</f>
        <v>Cotisant</v>
      </c>
      <c r="AA3" t="str" cm="1">
        <f t="array" ref="AA3">_xlfn.LET(_xlpm.champ,suivi[membre.prive.approbation_statuts],
_xlpm.liste_unique,IFERROR(_xlfn.UNIQUE(_xlfn._xlws.FILTER(_xlpm.champ,(suivi['#support.saison_en_cours]=1)*(_xlpm.champ&lt;&gt;"")*(suivi[membre.id]=annuaire[[#This Row],[id]]))),""),
INDEX(_xlpm.liste_unique,ROWS(_xlpm.liste_unique)))</f>
        <v/>
      </c>
      <c r="AB3" t="str" cm="1">
        <f t="array" ref="AB3">_xlfn.LET(_xlpm.champ,suivi[membre.prive.assurance_resp_civile],
_xlpm.liste_unique,IFERROR(_xlfn.UNIQUE(_xlfn._xlws.FILTER(_xlpm.champ,(suivi['#support.saison_en_cours]=1)*(_xlpm.champ&lt;&gt;"")*(suivi[membre.id]=annuaire[[#This Row],[id]]))),""),
INDEX(_xlpm.liste_unique,ROWS(_xlpm.liste_unique)))</f>
        <v/>
      </c>
      <c r="AC3" t="str" cm="1">
        <f t="array" ref="AC3">_xlfn.LET(_xlpm.champ,suivi[membre.prive.utilisation_image],
_xlpm.liste_unique,IFERROR(_xlfn.UNIQUE(_xlfn._xlws.FILTER(_xlpm.champ,(suivi['#support.saison_en_cours]=1)*(_xlpm.champ&lt;&gt;"")*(suivi[membre.id]=annuaire[[#This Row],[id]]))),""),
INDEX(_xlpm.liste_unique,ROWS(_xlpm.liste_unique)))</f>
        <v/>
      </c>
      <c r="AD3">
        <f ca="1">IF(OR(annuaire[[#This Row],[saison.cotis]]=1,annuaire[[#This Row],[stats.der_activite]]&gt;EDATE(TODAY(),-12)),1,"")</f>
        <v>1</v>
      </c>
      <c r="AE3" s="7" t="str">
        <f>IF(annuaire[[#This Row],[saison.presence]]=0,"",IF(annuaire[[#This Row],[saison.cotis]]=1," ", annuaire[[#This Row],[saison.presence]]))</f>
        <v xml:space="preserve"> </v>
      </c>
      <c r="AF3" t="e">
        <f>IF(annuaire[[#This Row],[pseudo_discord]]="","",MATCH(annuaire[[#This Row],[pseudo_discord]],#REF!,0))</f>
        <v>#REF!</v>
      </c>
    </row>
    <row r="4" spans="1:32" x14ac:dyDescent="0.25">
      <c r="A4" s="10">
        <v>3</v>
      </c>
      <c r="B4" s="1">
        <f>_xlfn.MINIFS(suivi[date],suivi[membre.id],annuaire[[#This Row],[id]])</f>
        <v>42657</v>
      </c>
      <c r="C4" t="str" cm="1">
        <f t="array" ref="C4">_xlfn.LET(_xlpm.champ,suivi[membre.prive.nom],
_xlpm.liste_unique,IFERROR(_xlfn.UNIQUE(_xlfn._xlws.FILTER(_xlpm.champ,(_xlpm.champ&lt;&gt;"")*(suivi[membre.id]=annuaire[[#This Row],[id]]))),""),
INDEX(_xlpm.liste_unique,ROWS(_xlpm.liste_unique)))</f>
        <v/>
      </c>
      <c r="D4" t="str" cm="1">
        <f t="array" ref="D4">_xlfn.LET(_xlpm.champ,suivi[membre.prive.prenom],
_xlpm.liste_unique,IFERROR(_xlfn.UNIQUE(_xlfn._xlws.FILTER(_xlpm.champ,(_xlpm.champ&lt;&gt;"")*(suivi[membre.id]=annuaire[[#This Row],[id]]))),""),
INDEX(_xlpm.liste_unique,ROWS(_xlpm.liste_unique)))</f>
        <v/>
      </c>
      <c r="E4" s="1" t="str" cm="1">
        <f t="array" ref="E4">_xlfn.LET(_xlpm.champ,suivi[membre.prive.date_naissance],
_xlpm.liste_unique,IFERROR(_xlfn.UNIQUE(_xlfn._xlws.FILTER(_xlpm.champ,(_xlpm.champ&lt;&gt;"")*(suivi[membre.id]=annuaire[[#This Row],[id]]))),""),
INDEX(_xlpm.liste_unique,ROWS(_xlpm.liste_unique)))</f>
        <v/>
      </c>
      <c r="F4" s="3" t="str" cm="1">
        <f t="array" ref="F4">_xlfn.LET(_xlpm.champ,suivi[membre.prive.'[emails']],
_xlpm.liste_unique,IFERROR(_xlfn.UNIQUE(_xlfn._xlws.FILTER(_xlpm.champ,(_xlpm.champ&lt;&gt;"")*(suivi[membre.id]=annuaire[[#This Row],[id]]))),""),
INDEX(_xlpm.liste_unique,ROWS(_xlpm.liste_unique)))</f>
        <v/>
      </c>
      <c r="G4" t="str" cm="1">
        <f t="array" ref="G4">_xlfn.LET(_xlpm.champ,suivi[membre.prive.'[telephone']],
_xlpm.liste_unique,IFERROR(_xlfn.UNIQUE(_xlfn._xlws.FILTER(_xlpm.champ,(_xlpm.champ&lt;&gt;"")*(suivi[membre.id]=annuaire[[#This Row],[id]]))),""),
INDEX(_xlpm.liste_unique,ROWS(_xlpm.liste_unique)))</f>
        <v/>
      </c>
      <c r="H4" t="str" cm="1">
        <f t="array" ref="H4">_xlfn.LET(_xlpm.champ,suivi[membre.prive.adresse.numero],
_xlpm.liste_unique,IFERROR(_xlfn.UNIQUE(_xlfn._xlws.FILTER(_xlpm.champ,(_xlpm.champ&lt;&gt;"")*(suivi[membre.id]=annuaire[[#This Row],[id]]))),""),
INDEX(_xlpm.liste_unique,ROWS(_xlpm.liste_unique)))</f>
        <v/>
      </c>
      <c r="I4" t="str" cm="1">
        <f t="array" ref="I4">_xlfn.LET(_xlpm.champ,suivi[membre.prive.adresse.type_voie],
_xlpm.liste_unique,IFERROR(_xlfn.UNIQUE(_xlfn._xlws.FILTER(_xlpm.champ,(_xlpm.champ&lt;&gt;"")*(suivi[membre.id]=annuaire[[#This Row],[id]]))),""),
INDEX(_xlpm.liste_unique,ROWS(_xlpm.liste_unique)))</f>
        <v/>
      </c>
      <c r="J4" t="str" cm="1">
        <f t="array" ref="J4">_xlfn.LET(_xlpm.champ,suivi[membre.prive.adresse.nom_voie],
_xlpm.liste_unique,IFERROR(_xlfn.UNIQUE(_xlfn._xlws.FILTER(_xlpm.champ,(_xlpm.champ&lt;&gt;"")*(suivi[membre.id]=annuaire[[#This Row],[id]]))),""),
INDEX(_xlpm.liste_unique,ROWS(_xlpm.liste_unique)))</f>
        <v/>
      </c>
      <c r="K4" t="str" cm="1">
        <f t="array" ref="K4">_xlfn.LET(_xlpm.champ,suivi[membre.prive.adresse.autre],
_xlpm.liste_unique,IFERROR(_xlfn.UNIQUE(_xlfn._xlws.FILTER(_xlpm.champ,(_xlpm.champ&lt;&gt;"")*(suivi[membre.id]=annuaire[[#This Row],[id]]))),""),
INDEX(_xlpm.liste_unique,ROWS(_xlpm.liste_unique)))</f>
        <v/>
      </c>
      <c r="L4" t="str" cm="1">
        <f t="array" ref="L4">_xlfn.LET(_xlpm.champ,suivi[membre.prive.adresse.cp],
_xlpm.liste_unique,IFERROR(_xlfn.UNIQUE(_xlfn._xlws.FILTER(_xlpm.champ,(_xlpm.champ&lt;&gt;"")*(suivi[membre.id]=annuaire[[#This Row],[id]]))),""),
INDEX(_xlpm.liste_unique,ROWS(_xlpm.liste_unique)))</f>
        <v/>
      </c>
      <c r="M4" s="5" t="str" cm="1">
        <f t="array" ref="M4">_xlfn.LET(_xlpm.champ,suivi[membre.prive.adresse.ville],
_xlpm.liste_unique,IFERROR(_xlfn.UNIQUE(_xlfn._xlws.FILTER(_xlpm.champ,(_xlpm.champ&lt;&gt;"")*(suivi[membre.id]=annuaire[[#This Row],[id]]))),""),
INDEX(_xlpm.liste_unique,ROWS(_xlpm.liste_unique)))</f>
        <v/>
      </c>
      <c r="N4" t="str" cm="1">
        <f t="array" ref="N4">_xlfn.LET(_xlpm.champ,suivi[membre.prive.pseudo_discord],
_xlpm.liste_unique,IFERROR(_xlfn.UNIQUE(_xlfn._xlws.FILTER(_xlpm.champ,(_xlpm.champ&lt;&gt;"")*(suivi[membre.id]=annuaire[[#This Row],[id]]))),""),
INDEX(_xlpm.liste_unique,ROWS(_xlpm.liste_unique)))</f>
        <v/>
      </c>
      <c r="O4" t="str" cm="1">
        <f t="array" ref="O4">_xlfn.LET(_xlpm.champ,suivi[membre.source_connaissance],
_xlpm.liste_unique,IFERROR(_xlfn.UNIQUE(_xlfn._xlws.FILTER(_xlpm.champ,(_xlpm.champ&lt;&gt;"")*(suivi[membre.id]=annuaire[[#This Row],[id]]))),""),
INDEX(_xlpm.liste_unique,ROWS(_xlpm.liste_unique)))</f>
        <v/>
      </c>
      <c r="P4" t="str">
        <f>IF(annuaire[[#This Row],[nom]]&lt;&gt;"",PROPER(annuaire[[#This Row],[nom]])&amp;IF(annuaire[[#This Row],[prenom]]&lt;&gt;""," "&amp;PROPER(annuaire[[#This Row],[prenom]]),""),
IF(annuaire[[#This Row],[pseudo_discord]]&lt;&gt;"","[discord] "&amp;annuaire[[#This Row],[pseudo_discord]]&amp;IF(annuaire[[#This Row],[prenom]]&lt;&gt;""," ("&amp;PROPER(annuaire[[#This Row],[prenom]])&amp;")",""),
IF(annuaire[[#This Row],[emails]]&lt;&gt;"","[email] "&amp;annuaire[[#This Row],[emails]]&amp;IF(annuaire[[#This Row],[prenom]]&lt;&gt;""," ("&amp;PROPER(annuaire[[#This Row],[prenom]])&amp;")",""),
IF(annuaire[[#This Row],[prenom]]&lt;&gt;"",PROPER(annuaire[[#This Row],[prenom]]),"AJ-"&amp;TEXT(annuaire[[#This Row],[id]],"00000")))))</f>
        <v>AJ-00003</v>
      </c>
      <c r="Q4" s="8">
        <f>COUNTIFS(suivi[entree.categorie],cotisation,suivi[membre.id],annuaire[[#This Row],[id]])</f>
        <v>6</v>
      </c>
      <c r="R4" s="9">
        <f>_xlfn.LET(_xlpm.der_pres,_xlfn.MINIFS(suivi[date],suivi[entree.categorie],cotisation,suivi[membre.id],annuaire[[#This Row],[id]]),
IF(_xlpm.der_pres=0,"",_xlpm.der_pres))</f>
        <v>42657</v>
      </c>
      <c r="S4" s="9">
        <f>_xlfn.LET(_xlpm.der_pres,_xlfn.MAXIFS(suivi[date],suivi[entree.categorie],cotisation,suivi[membre.id],annuaire[[#This Row],[id]]),
IF(_xlpm.der_pres=0,"",_xlpm.der_pres))</f>
        <v>44440</v>
      </c>
      <c r="T4" s="8">
        <f>COUNTIFS(suivi[entree.categorie],presence,suivi[membre.id],annuaire[[#This Row],[id]])</f>
        <v>0</v>
      </c>
      <c r="U4" s="9">
        <f>_xlfn.MAXIFS(suivi[date],suivi[membre.id],annuaire[[#This Row],[id]])</f>
        <v>44440</v>
      </c>
      <c r="V4" s="8">
        <f>COUNTIFS(suivi[entree.categorie],presence,suivi[membre.id],annuaire[[#This Row],[id]],suivi['#support.saison_en_cours],1)</f>
        <v>0</v>
      </c>
      <c r="W4" s="8">
        <f>IF(COUNTIFS(suivi[entree.categorie],cotisation,suivi[membre.id],annuaire[[#This Row],[id]],suivi['#support.saison_en_cours],1)&gt;0,1,0)</f>
        <v>0</v>
      </c>
      <c r="X4" t="b">
        <f ca="1">IF(annuaire[[#This Row],[stats.cotis.derniere]]="",FALSE,
_xlfn.LET(
_xlpm.derniere_cotis_nb_mois,ROUNDDOWN((saison_debut-annuaire[[#This Row],[stats.cotis.derniere]])/30,1),
_xlpm.derniere_cotis_saison_precedente,AND(_xlpm.derniere_cotis_nb_mois&gt;0,_xlpm.derniere_cotis_nb_mois&lt;13),
_xlpm.nouvelle_saison_depuismoins2mois,(TODAY()-saison_debut)/30&lt;3,
AND(_xlpm.derniere_cotis_saison_precedente,_xlpm.nouvelle_saison_depuismoins2mois)
)
)</f>
        <v>0</v>
      </c>
      <c r="Y4" t="str" cm="1">
        <f t="array" ref="Y4">IFERROR(_xlfn.LET(_xlpm.filtre_table_suivi_saison_role,(suivi[membre.asso_role]&lt;&gt;"")*(suivi['#support.saison_en_cours]=1),
                                             _xlpm.nomination_saison_id,_xlfn._xlws.FILTER(suivi[membre.id],_xlpm.filtre_table_suivi_saison_role),
                                             _xlpm.nomination_saison_role,_xlfn._xlws.FILTER(suivi[membre.asso_role],_xlpm.filtre_table_suivi_saison_role),
                                             INDEX(_xlpm.nomination_saison_role,MATCH(annuaire[[#This Row],[id]],_xlpm.nomination_saison_id,0))),
                                         "")</f>
        <v/>
      </c>
      <c r="Z4" t="str">
        <f ca="1">IF(annuaire[[#This Row],[saison.asso_role_manuel]]&lt;&gt;"",annuaire[[#This Row],[saison.asso_role_manuel]],
IF(annuaire[[#This Row],[saison.cotis]]&gt;0,cotisant,
IF(annuaire[[#This Row],[saison.precedente]],cotisant_saison_prec,
"")))</f>
        <v/>
      </c>
      <c r="AA4" t="str" cm="1">
        <f t="array" ref="AA4">_xlfn.LET(_xlpm.champ,suivi[membre.prive.approbation_statuts],
_xlpm.liste_unique,IFERROR(_xlfn.UNIQUE(_xlfn._xlws.FILTER(_xlpm.champ,(suivi['#support.saison_en_cours]=1)*(_xlpm.champ&lt;&gt;"")*(suivi[membre.id]=annuaire[[#This Row],[id]]))),""),
INDEX(_xlpm.liste_unique,ROWS(_xlpm.liste_unique)))</f>
        <v/>
      </c>
      <c r="AB4" t="str" cm="1">
        <f t="array" ref="AB4">_xlfn.LET(_xlpm.champ,suivi[membre.prive.assurance_resp_civile],
_xlpm.liste_unique,IFERROR(_xlfn.UNIQUE(_xlfn._xlws.FILTER(_xlpm.champ,(suivi['#support.saison_en_cours]=1)*(_xlpm.champ&lt;&gt;"")*(suivi[membre.id]=annuaire[[#This Row],[id]]))),""),
INDEX(_xlpm.liste_unique,ROWS(_xlpm.liste_unique)))</f>
        <v/>
      </c>
      <c r="AC4" t="str" cm="1">
        <f t="array" ref="AC4">_xlfn.LET(_xlpm.champ,suivi[membre.prive.utilisation_image],
_xlpm.liste_unique,IFERROR(_xlfn.UNIQUE(_xlfn._xlws.FILTER(_xlpm.champ,(suivi['#support.saison_en_cours]=1)*(_xlpm.champ&lt;&gt;"")*(suivi[membre.id]=annuaire[[#This Row],[id]]))),""),
INDEX(_xlpm.liste_unique,ROWS(_xlpm.liste_unique)))</f>
        <v/>
      </c>
      <c r="AD4" t="str">
        <f ca="1">IF(OR(annuaire[[#This Row],[saison.cotis]]=1,annuaire[[#This Row],[stats.der_activite]]&gt;EDATE(TODAY(),-12)),1,"")</f>
        <v/>
      </c>
      <c r="AE4" s="7" t="str">
        <f>IF(annuaire[[#This Row],[saison.presence]]=0,"",IF(annuaire[[#This Row],[saison.cotis]]=1," ", annuaire[[#This Row],[saison.presence]]))</f>
        <v/>
      </c>
      <c r="AF4" t="str">
        <f>IF(annuaire[[#This Row],[pseudo_discord]]="","",MATCH(annuaire[[#This Row],[pseudo_discord]],#REF!,0))</f>
        <v/>
      </c>
    </row>
    <row r="5" spans="1:32" x14ac:dyDescent="0.25">
      <c r="A5" s="10">
        <v>4</v>
      </c>
      <c r="B5" s="1">
        <f>_xlfn.MINIFS(suivi[date],suivi[membre.id],annuaire[[#This Row],[id]])</f>
        <v>45921</v>
      </c>
      <c r="C5" t="str" cm="1">
        <f t="array" ref="C5">_xlfn.LET(_xlpm.champ,suivi[membre.prive.nom],
_xlpm.liste_unique,IFERROR(_xlfn.UNIQUE(_xlfn._xlws.FILTER(_xlpm.champ,(_xlpm.champ&lt;&gt;"")*(suivi[membre.id]=annuaire[[#This Row],[id]]))),""),
INDEX(_xlpm.liste_unique,ROWS(_xlpm.liste_unique)))</f>
        <v/>
      </c>
      <c r="D5" t="str" cm="1">
        <f t="array" ref="D5">_xlfn.LET(_xlpm.champ,suivi[membre.prive.prenom],
_xlpm.liste_unique,IFERROR(_xlfn.UNIQUE(_xlfn._xlws.FILTER(_xlpm.champ,(_xlpm.champ&lt;&gt;"")*(suivi[membre.id]=annuaire[[#This Row],[id]]))),""),
INDEX(_xlpm.liste_unique,ROWS(_xlpm.liste_unique)))</f>
        <v/>
      </c>
      <c r="E5" s="1" t="str" cm="1">
        <f t="array" ref="E5">_xlfn.LET(_xlpm.champ,suivi[membre.prive.date_naissance],
_xlpm.liste_unique,IFERROR(_xlfn.UNIQUE(_xlfn._xlws.FILTER(_xlpm.champ,(_xlpm.champ&lt;&gt;"")*(suivi[membre.id]=annuaire[[#This Row],[id]]))),""),
INDEX(_xlpm.liste_unique,ROWS(_xlpm.liste_unique)))</f>
        <v/>
      </c>
      <c r="F5" s="3" t="str" cm="1">
        <f t="array" ref="F5">_xlfn.LET(_xlpm.champ,suivi[membre.prive.'[emails']],
_xlpm.liste_unique,IFERROR(_xlfn.UNIQUE(_xlfn._xlws.FILTER(_xlpm.champ,(_xlpm.champ&lt;&gt;"")*(suivi[membre.id]=annuaire[[#This Row],[id]]))),""),
INDEX(_xlpm.liste_unique,ROWS(_xlpm.liste_unique)))</f>
        <v>jean.bon@porci.net</v>
      </c>
      <c r="G5" t="str" cm="1">
        <f t="array" ref="G5">_xlfn.LET(_xlpm.champ,suivi[membre.prive.'[telephone']],
_xlpm.liste_unique,IFERROR(_xlfn.UNIQUE(_xlfn._xlws.FILTER(_xlpm.champ,(_xlpm.champ&lt;&gt;"")*(suivi[membre.id]=annuaire[[#This Row],[id]]))),""),
INDEX(_xlpm.liste_unique,ROWS(_xlpm.liste_unique)))</f>
        <v/>
      </c>
      <c r="H5" cm="1">
        <f t="array" ref="H5">_xlfn.LET(_xlpm.champ,suivi[membre.prive.adresse.numero],
_xlpm.liste_unique,IFERROR(_xlfn.UNIQUE(_xlfn._xlws.FILTER(_xlpm.champ,(_xlpm.champ&lt;&gt;"")*(suivi[membre.id]=annuaire[[#This Row],[id]]))),""),
INDEX(_xlpm.liste_unique,ROWS(_xlpm.liste_unique)))</f>
        <v>1</v>
      </c>
      <c r="I5" t="str" cm="1">
        <f t="array" ref="I5">_xlfn.LET(_xlpm.champ,suivi[membre.prive.adresse.type_voie],
_xlpm.liste_unique,IFERROR(_xlfn.UNIQUE(_xlfn._xlws.FILTER(_xlpm.champ,(_xlpm.champ&lt;&gt;"")*(suivi[membre.id]=annuaire[[#This Row],[id]]))),""),
INDEX(_xlpm.liste_unique,ROWS(_xlpm.liste_unique)))</f>
        <v>rue</v>
      </c>
      <c r="J5" t="str" cm="1">
        <f t="array" ref="J5">_xlfn.LET(_xlpm.champ,suivi[membre.prive.adresse.nom_voie],
_xlpm.liste_unique,IFERROR(_xlfn.UNIQUE(_xlfn._xlws.FILTER(_xlpm.champ,(_xlpm.champ&lt;&gt;"")*(suivi[membre.id]=annuaire[[#This Row],[id]]))),""),
INDEX(_xlpm.liste_unique,ROWS(_xlpm.liste_unique)))</f>
        <v>de l'abatoir</v>
      </c>
      <c r="K5" t="str" cm="1">
        <f t="array" ref="K5">_xlfn.LET(_xlpm.champ,suivi[membre.prive.adresse.autre],
_xlpm.liste_unique,IFERROR(_xlfn.UNIQUE(_xlfn._xlws.FILTER(_xlpm.champ,(_xlpm.champ&lt;&gt;"")*(suivi[membre.id]=annuaire[[#This Row],[id]]))),""),
INDEX(_xlpm.liste_unique,ROWS(_xlpm.liste_unique)))</f>
        <v>Appt 2</v>
      </c>
      <c r="L5" cm="1">
        <f t="array" ref="L5">_xlfn.LET(_xlpm.champ,suivi[membre.prive.adresse.cp],
_xlpm.liste_unique,IFERROR(_xlfn.UNIQUE(_xlfn._xlws.FILTER(_xlpm.champ,(_xlpm.champ&lt;&gt;"")*(suivi[membre.id]=annuaire[[#This Row],[id]]))),""),
INDEX(_xlpm.liste_unique,ROWS(_xlpm.liste_unique)))</f>
        <v>12345</v>
      </c>
      <c r="M5" s="5" t="str" cm="1">
        <f t="array" ref="M5">_xlfn.LET(_xlpm.champ,suivi[membre.prive.adresse.ville],
_xlpm.liste_unique,IFERROR(_xlfn.UNIQUE(_xlfn._xlws.FILTER(_xlpm.champ,(_xlpm.champ&lt;&gt;"")*(suivi[membre.id]=annuaire[[#This Row],[id]]))),""),
INDEX(_xlpm.liste_unique,ROWS(_xlpm.liste_unique)))</f>
        <v>Ailleurs</v>
      </c>
      <c r="N5" t="str" cm="1">
        <f t="array" ref="N5">_xlfn.LET(_xlpm.champ,suivi[membre.prive.pseudo_discord],
_xlpm.liste_unique,IFERROR(_xlfn.UNIQUE(_xlfn._xlws.FILTER(_xlpm.champ,(_xlpm.champ&lt;&gt;"")*(suivi[membre.id]=annuaire[[#This Row],[id]]))),""),
INDEX(_xlpm.liste_unique,ROWS(_xlpm.liste_unique)))</f>
        <v>VbrBot</v>
      </c>
      <c r="O5" t="str" cm="1">
        <f t="array" ref="O5">_xlfn.LET(_xlpm.champ,suivi[membre.source_connaissance],
_xlpm.liste_unique,IFERROR(_xlfn.UNIQUE(_xlfn._xlws.FILTER(_xlpm.champ,(_xlpm.champ&lt;&gt;"")*(suivi[membre.id]=annuaire[[#This Row],[id]]))),""),
INDEX(_xlpm.liste_unique,ROWS(_xlpm.liste_unique)))</f>
        <v/>
      </c>
      <c r="P5" t="str">
        <f>IF(annuaire[[#This Row],[nom]]&lt;&gt;"",PROPER(annuaire[[#This Row],[nom]])&amp;IF(annuaire[[#This Row],[prenom]]&lt;&gt;""," "&amp;PROPER(annuaire[[#This Row],[prenom]]),""),
IF(annuaire[[#This Row],[pseudo_discord]]&lt;&gt;"","[discord] "&amp;annuaire[[#This Row],[pseudo_discord]]&amp;IF(annuaire[[#This Row],[prenom]]&lt;&gt;""," ("&amp;PROPER(annuaire[[#This Row],[prenom]])&amp;")",""),
IF(annuaire[[#This Row],[emails]]&lt;&gt;"","[email] "&amp;annuaire[[#This Row],[emails]]&amp;IF(annuaire[[#This Row],[prenom]]&lt;&gt;""," ("&amp;PROPER(annuaire[[#This Row],[prenom]])&amp;")",""),
IF(annuaire[[#This Row],[prenom]]&lt;&gt;"",PROPER(annuaire[[#This Row],[prenom]]),"AJ-"&amp;TEXT(annuaire[[#This Row],[id]],"00000")))))</f>
        <v>[discord] VbrBot</v>
      </c>
      <c r="Q5" s="8">
        <f>COUNTIFS(suivi[entree.categorie],cotisation,suivi[membre.id],annuaire[[#This Row],[id]])</f>
        <v>0</v>
      </c>
      <c r="R5" s="9" t="str">
        <f>_xlfn.LET(_xlpm.der_pres,_xlfn.MINIFS(suivi[date],suivi[entree.categorie],cotisation,suivi[membre.id],annuaire[[#This Row],[id]]),
IF(_xlpm.der_pres=0,"",_xlpm.der_pres))</f>
        <v/>
      </c>
      <c r="S5" s="9" t="str">
        <f>_xlfn.LET(_xlpm.der_pres,_xlfn.MAXIFS(suivi[date],suivi[entree.categorie],cotisation,suivi[membre.id],annuaire[[#This Row],[id]]),
IF(_xlpm.der_pres=0,"",_xlpm.der_pres))</f>
        <v/>
      </c>
      <c r="T5" s="8">
        <f>COUNTIFS(suivi[entree.categorie],presence,suivi[membre.id],annuaire[[#This Row],[id]])</f>
        <v>0</v>
      </c>
      <c r="U5" s="9">
        <f>_xlfn.MAXIFS(suivi[date],suivi[membre.id],annuaire[[#This Row],[id]])</f>
        <v>45921</v>
      </c>
      <c r="V5" s="8">
        <f>COUNTIFS(suivi[entree.categorie],presence,suivi[membre.id],annuaire[[#This Row],[id]],suivi['#support.saison_en_cours],1)</f>
        <v>0</v>
      </c>
      <c r="W5" s="8">
        <f>IF(COUNTIFS(suivi[entree.categorie],cotisation,suivi[membre.id],annuaire[[#This Row],[id]],suivi['#support.saison_en_cours],1)&gt;0,1,0)</f>
        <v>0</v>
      </c>
      <c r="X5" t="b">
        <f ca="1">IF(annuaire[[#This Row],[stats.cotis.derniere]]="",FALSE,
_xlfn.LET(
_xlpm.derniere_cotis_nb_mois,ROUNDDOWN((saison_debut-annuaire[[#This Row],[stats.cotis.derniere]])/30,1),
_xlpm.derniere_cotis_saison_precedente,AND(_xlpm.derniere_cotis_nb_mois&gt;0,_xlpm.derniere_cotis_nb_mois&lt;13),
_xlpm.nouvelle_saison_depuismoins2mois,(TODAY()-saison_debut)/30&lt;3,
AND(_xlpm.derniere_cotis_saison_precedente,_xlpm.nouvelle_saison_depuismoins2mois)
)
)</f>
        <v>0</v>
      </c>
      <c r="Y5" t="str" cm="1">
        <f t="array" ref="Y5">IFERROR(_xlfn.LET(_xlpm.filtre_table_suivi_saison_role,(suivi[membre.asso_role]&lt;&gt;"")*(suivi['#support.saison_en_cours]=1),
                                             _xlpm.nomination_saison_id,_xlfn._xlws.FILTER(suivi[membre.id],_xlpm.filtre_table_suivi_saison_role),
                                             _xlpm.nomination_saison_role,_xlfn._xlws.FILTER(suivi[membre.asso_role],_xlpm.filtre_table_suivi_saison_role),
                                             INDEX(_xlpm.nomination_saison_role,MATCH(annuaire[[#This Row],[id]],_xlpm.nomination_saison_id,0))),
                                         "")</f>
        <v>Bot - VbrBot</v>
      </c>
      <c r="Z5" t="str">
        <f>IF(annuaire[[#This Row],[saison.asso_role_manuel]]&lt;&gt;"",annuaire[[#This Row],[saison.asso_role_manuel]],
IF(annuaire[[#This Row],[saison.cotis]]&gt;0,cotisant,
IF(annuaire[[#This Row],[saison.precedente]],cotisant_saison_prec,
"")))</f>
        <v>Bot - VbrBot</v>
      </c>
      <c r="AA5" t="str" cm="1">
        <f t="array" ref="AA5">_xlfn.LET(_xlpm.champ,suivi[membre.prive.approbation_statuts],
_xlpm.liste_unique,IFERROR(_xlfn.UNIQUE(_xlfn._xlws.FILTER(_xlpm.champ,(suivi['#support.saison_en_cours]=1)*(_xlpm.champ&lt;&gt;"")*(suivi[membre.id]=annuaire[[#This Row],[id]]))),""),
INDEX(_xlpm.liste_unique,ROWS(_xlpm.liste_unique)))</f>
        <v/>
      </c>
      <c r="AB5" t="str" cm="1">
        <f t="array" ref="AB5">_xlfn.LET(_xlpm.champ,suivi[membre.prive.assurance_resp_civile],
_xlpm.liste_unique,IFERROR(_xlfn.UNIQUE(_xlfn._xlws.FILTER(_xlpm.champ,(suivi['#support.saison_en_cours]=1)*(_xlpm.champ&lt;&gt;"")*(suivi[membre.id]=annuaire[[#This Row],[id]]))),""),
INDEX(_xlpm.liste_unique,ROWS(_xlpm.liste_unique)))</f>
        <v/>
      </c>
      <c r="AC5" t="str" cm="1">
        <f t="array" ref="AC5">_xlfn.LET(_xlpm.champ,suivi[membre.prive.utilisation_image],
_xlpm.liste_unique,IFERROR(_xlfn.UNIQUE(_xlfn._xlws.FILTER(_xlpm.champ,(suivi['#support.saison_en_cours]=1)*(_xlpm.champ&lt;&gt;"")*(suivi[membre.id]=annuaire[[#This Row],[id]]))),""),
INDEX(_xlpm.liste_unique,ROWS(_xlpm.liste_unique)))</f>
        <v/>
      </c>
      <c r="AD5">
        <f ca="1">IF(OR(annuaire[[#This Row],[saison.cotis]]=1,annuaire[[#This Row],[stats.der_activite]]&gt;EDATE(TODAY(),-12)),1,"")</f>
        <v>1</v>
      </c>
      <c r="AE5" s="7" t="str">
        <f>IF(annuaire[[#This Row],[saison.presence]]=0,"",IF(annuaire[[#This Row],[saison.cotis]]=1," ", annuaire[[#This Row],[saison.presence]]))</f>
        <v/>
      </c>
      <c r="AF5" t="e">
        <f>IF(annuaire[[#This Row],[pseudo_discord]]="","",MATCH(annuaire[[#This Row],[pseudo_discord]],#REF!,0))</f>
        <v>#REF!</v>
      </c>
    </row>
    <row r="6" spans="1:32" x14ac:dyDescent="0.25">
      <c r="A6" s="10">
        <v>5</v>
      </c>
      <c r="B6" s="1">
        <f>_xlfn.MINIFS(suivi[date],suivi[membre.id],annuaire[[#This Row],[id]])</f>
        <v>42528</v>
      </c>
      <c r="C6" t="str" cm="1">
        <f t="array" ref="C6">_xlfn.LET(_xlpm.champ,suivi[membre.prive.nom],
_xlpm.liste_unique,IFERROR(_xlfn.UNIQUE(_xlfn._xlws.FILTER(_xlpm.champ,(_xlpm.champ&lt;&gt;"")*(suivi[membre.id]=annuaire[[#This Row],[id]]))),""),
INDEX(_xlpm.liste_unique,ROWS(_xlpm.liste_unique)))</f>
        <v/>
      </c>
      <c r="D6" t="str" cm="1">
        <f t="array" ref="D6">_xlfn.LET(_xlpm.champ,suivi[membre.prive.prenom],
_xlpm.liste_unique,IFERROR(_xlfn.UNIQUE(_xlfn._xlws.FILTER(_xlpm.champ,(_xlpm.champ&lt;&gt;"")*(suivi[membre.id]=annuaire[[#This Row],[id]]))),""),
INDEX(_xlpm.liste_unique,ROWS(_xlpm.liste_unique)))</f>
        <v/>
      </c>
      <c r="E6" s="1" t="str" cm="1">
        <f t="array" ref="E6">_xlfn.LET(_xlpm.champ,suivi[membre.prive.date_naissance],
_xlpm.liste_unique,IFERROR(_xlfn.UNIQUE(_xlfn._xlws.FILTER(_xlpm.champ,(_xlpm.champ&lt;&gt;"")*(suivi[membre.id]=annuaire[[#This Row],[id]]))),""),
INDEX(_xlpm.liste_unique,ROWS(_xlpm.liste_unique)))</f>
        <v/>
      </c>
      <c r="F6" s="3" t="str" cm="1">
        <f t="array" ref="F6">_xlfn.LET(_xlpm.champ,suivi[membre.prive.'[emails']],
_xlpm.liste_unique,IFERROR(_xlfn.UNIQUE(_xlfn._xlws.FILTER(_xlpm.champ,(_xlpm.champ&lt;&gt;"")*(suivi[membre.id]=annuaire[[#This Row],[id]]))),""),
INDEX(_xlpm.liste_unique,ROWS(_xlpm.liste_unique)))</f>
        <v/>
      </c>
      <c r="G6" t="str" cm="1">
        <f t="array" ref="G6">_xlfn.LET(_xlpm.champ,suivi[membre.prive.'[telephone']],
_xlpm.liste_unique,IFERROR(_xlfn.UNIQUE(_xlfn._xlws.FILTER(_xlpm.champ,(_xlpm.champ&lt;&gt;"")*(suivi[membre.id]=annuaire[[#This Row],[id]]))),""),
INDEX(_xlpm.liste_unique,ROWS(_xlpm.liste_unique)))</f>
        <v/>
      </c>
      <c r="H6" t="str" cm="1">
        <f t="array" ref="H6">_xlfn.LET(_xlpm.champ,suivi[membre.prive.adresse.numero],
_xlpm.liste_unique,IFERROR(_xlfn.UNIQUE(_xlfn._xlws.FILTER(_xlpm.champ,(_xlpm.champ&lt;&gt;"")*(suivi[membre.id]=annuaire[[#This Row],[id]]))),""),
INDEX(_xlpm.liste_unique,ROWS(_xlpm.liste_unique)))</f>
        <v/>
      </c>
      <c r="I6" t="str" cm="1">
        <f t="array" ref="I6">_xlfn.LET(_xlpm.champ,suivi[membre.prive.adresse.type_voie],
_xlpm.liste_unique,IFERROR(_xlfn.UNIQUE(_xlfn._xlws.FILTER(_xlpm.champ,(_xlpm.champ&lt;&gt;"")*(suivi[membre.id]=annuaire[[#This Row],[id]]))),""),
INDEX(_xlpm.liste_unique,ROWS(_xlpm.liste_unique)))</f>
        <v/>
      </c>
      <c r="J6" t="str" cm="1">
        <f t="array" ref="J6">_xlfn.LET(_xlpm.champ,suivi[membre.prive.adresse.nom_voie],
_xlpm.liste_unique,IFERROR(_xlfn.UNIQUE(_xlfn._xlws.FILTER(_xlpm.champ,(_xlpm.champ&lt;&gt;"")*(suivi[membre.id]=annuaire[[#This Row],[id]]))),""),
INDEX(_xlpm.liste_unique,ROWS(_xlpm.liste_unique)))</f>
        <v/>
      </c>
      <c r="K6" t="str" cm="1">
        <f t="array" ref="K6">_xlfn.LET(_xlpm.champ,suivi[membre.prive.adresse.autre],
_xlpm.liste_unique,IFERROR(_xlfn.UNIQUE(_xlfn._xlws.FILTER(_xlpm.champ,(_xlpm.champ&lt;&gt;"")*(suivi[membre.id]=annuaire[[#This Row],[id]]))),""),
INDEX(_xlpm.liste_unique,ROWS(_xlpm.liste_unique)))</f>
        <v/>
      </c>
      <c r="L6" t="str" cm="1">
        <f t="array" ref="L6">_xlfn.LET(_xlpm.champ,suivi[membre.prive.adresse.cp],
_xlpm.liste_unique,IFERROR(_xlfn.UNIQUE(_xlfn._xlws.FILTER(_xlpm.champ,(_xlpm.champ&lt;&gt;"")*(suivi[membre.id]=annuaire[[#This Row],[id]]))),""),
INDEX(_xlpm.liste_unique,ROWS(_xlpm.liste_unique)))</f>
        <v/>
      </c>
      <c r="M6" s="5" t="str" cm="1">
        <f t="array" ref="M6">_xlfn.LET(_xlpm.champ,suivi[membre.prive.adresse.ville],
_xlpm.liste_unique,IFERROR(_xlfn.UNIQUE(_xlfn._xlws.FILTER(_xlpm.champ,(_xlpm.champ&lt;&gt;"")*(suivi[membre.id]=annuaire[[#This Row],[id]]))),""),
INDEX(_xlpm.liste_unique,ROWS(_xlpm.liste_unique)))</f>
        <v/>
      </c>
      <c r="N6" t="str" cm="1">
        <f t="array" ref="N6">_xlfn.LET(_xlpm.champ,suivi[membre.prive.pseudo_discord],
_xlpm.liste_unique,IFERROR(_xlfn.UNIQUE(_xlfn._xlws.FILTER(_xlpm.champ,(_xlpm.champ&lt;&gt;"")*(suivi[membre.id]=annuaire[[#This Row],[id]]))),""),
INDEX(_xlpm.liste_unique,ROWS(_xlpm.liste_unique)))</f>
        <v/>
      </c>
      <c r="O6" t="str" cm="1">
        <f t="array" ref="O6">_xlfn.LET(_xlpm.champ,suivi[membre.source_connaissance],
_xlpm.liste_unique,IFERROR(_xlfn.UNIQUE(_xlfn._xlws.FILTER(_xlpm.champ,(_xlpm.champ&lt;&gt;"")*(suivi[membre.id]=annuaire[[#This Row],[id]]))),""),
INDEX(_xlpm.liste_unique,ROWS(_xlpm.liste_unique)))</f>
        <v/>
      </c>
      <c r="P6" t="str">
        <f>IF(annuaire[[#This Row],[nom]]&lt;&gt;"",PROPER(annuaire[[#This Row],[nom]])&amp;IF(annuaire[[#This Row],[prenom]]&lt;&gt;""," "&amp;PROPER(annuaire[[#This Row],[prenom]]),""),
IF(annuaire[[#This Row],[pseudo_discord]]&lt;&gt;"","[discord] "&amp;annuaire[[#This Row],[pseudo_discord]]&amp;IF(annuaire[[#This Row],[prenom]]&lt;&gt;""," ("&amp;PROPER(annuaire[[#This Row],[prenom]])&amp;")",""),
IF(annuaire[[#This Row],[emails]]&lt;&gt;"","[email] "&amp;annuaire[[#This Row],[emails]]&amp;IF(annuaire[[#This Row],[prenom]]&lt;&gt;""," ("&amp;PROPER(annuaire[[#This Row],[prenom]])&amp;")",""),
IF(annuaire[[#This Row],[prenom]]&lt;&gt;"",PROPER(annuaire[[#This Row],[prenom]]),"AJ-"&amp;TEXT(annuaire[[#This Row],[id]],"00000")))))</f>
        <v>AJ-00005</v>
      </c>
      <c r="Q6" s="8">
        <f>COUNTIFS(suivi[entree.categorie],cotisation,suivi[membre.id],annuaire[[#This Row],[id]])</f>
        <v>7</v>
      </c>
      <c r="R6" s="9">
        <f>_xlfn.LET(_xlpm.der_pres,_xlfn.MINIFS(suivi[date],suivi[entree.categorie],cotisation,suivi[membre.id],annuaire[[#This Row],[id]]),
IF(_xlpm.der_pres=0,"",_xlpm.der_pres))</f>
        <v>42528</v>
      </c>
      <c r="S6" s="9">
        <f>_xlfn.LET(_xlpm.der_pres,_xlfn.MAXIFS(suivi[date],suivi[entree.categorie],cotisation,suivi[membre.id],annuaire[[#This Row],[id]]),
IF(_xlpm.der_pres=0,"",_xlpm.der_pres))</f>
        <v>44805</v>
      </c>
      <c r="T6" s="8">
        <f>COUNTIFS(suivi[entree.categorie],presence,suivi[membre.id],annuaire[[#This Row],[id]])</f>
        <v>1</v>
      </c>
      <c r="U6" s="9">
        <f>_xlfn.MAXIFS(suivi[date],suivi[membre.id],annuaire[[#This Row],[id]])</f>
        <v>45611</v>
      </c>
      <c r="V6" s="8">
        <f>COUNTIFS(suivi[entree.categorie],presence,suivi[membre.id],annuaire[[#This Row],[id]],suivi['#support.saison_en_cours],1)</f>
        <v>0</v>
      </c>
      <c r="W6" s="8">
        <f>IF(COUNTIFS(suivi[entree.categorie],cotisation,suivi[membre.id],annuaire[[#This Row],[id]],suivi['#support.saison_en_cours],1)&gt;0,1,0)</f>
        <v>0</v>
      </c>
      <c r="X6" t="b">
        <f ca="1">IF(annuaire[[#This Row],[stats.cotis.derniere]]="",FALSE,
_xlfn.LET(
_xlpm.derniere_cotis_nb_mois,ROUNDDOWN((saison_debut-annuaire[[#This Row],[stats.cotis.derniere]])/30,1),
_xlpm.derniere_cotis_saison_precedente,AND(_xlpm.derniere_cotis_nb_mois&gt;0,_xlpm.derniere_cotis_nb_mois&lt;13),
_xlpm.nouvelle_saison_depuismoins2mois,(TODAY()-saison_debut)/30&lt;3,
AND(_xlpm.derniere_cotis_saison_precedente,_xlpm.nouvelle_saison_depuismoins2mois)
)
)</f>
        <v>0</v>
      </c>
      <c r="Y6" t="str" cm="1">
        <f t="array" ref="Y6">IFERROR(_xlfn.LET(_xlpm.filtre_table_suivi_saison_role,(suivi[membre.asso_role]&lt;&gt;"")*(suivi['#support.saison_en_cours]=1),
                                             _xlpm.nomination_saison_id,_xlfn._xlws.FILTER(suivi[membre.id],_xlpm.filtre_table_suivi_saison_role),
                                             _xlpm.nomination_saison_role,_xlfn._xlws.FILTER(suivi[membre.asso_role],_xlpm.filtre_table_suivi_saison_role),
                                             INDEX(_xlpm.nomination_saison_role,MATCH(annuaire[[#This Row],[id]],_xlpm.nomination_saison_id,0))),
                                         "")</f>
        <v/>
      </c>
      <c r="Z6" t="str">
        <f ca="1">IF(annuaire[[#This Row],[saison.asso_role_manuel]]&lt;&gt;"",annuaire[[#This Row],[saison.asso_role_manuel]],
IF(annuaire[[#This Row],[saison.cotis]]&gt;0,cotisant,
IF(annuaire[[#This Row],[saison.precedente]],cotisant_saison_prec,
"")))</f>
        <v/>
      </c>
      <c r="AA6" t="str" cm="1">
        <f t="array" ref="AA6">_xlfn.LET(_xlpm.champ,suivi[membre.prive.approbation_statuts],
_xlpm.liste_unique,IFERROR(_xlfn.UNIQUE(_xlfn._xlws.FILTER(_xlpm.champ,(suivi['#support.saison_en_cours]=1)*(_xlpm.champ&lt;&gt;"")*(suivi[membre.id]=annuaire[[#This Row],[id]]))),""),
INDEX(_xlpm.liste_unique,ROWS(_xlpm.liste_unique)))</f>
        <v/>
      </c>
      <c r="AB6" t="str" cm="1">
        <f t="array" ref="AB6">_xlfn.LET(_xlpm.champ,suivi[membre.prive.assurance_resp_civile],
_xlpm.liste_unique,IFERROR(_xlfn.UNIQUE(_xlfn._xlws.FILTER(_xlpm.champ,(suivi['#support.saison_en_cours]=1)*(_xlpm.champ&lt;&gt;"")*(suivi[membre.id]=annuaire[[#This Row],[id]]))),""),
INDEX(_xlpm.liste_unique,ROWS(_xlpm.liste_unique)))</f>
        <v/>
      </c>
      <c r="AC6" t="str" cm="1">
        <f t="array" ref="AC6">_xlfn.LET(_xlpm.champ,suivi[membre.prive.utilisation_image],
_xlpm.liste_unique,IFERROR(_xlfn.UNIQUE(_xlfn._xlws.FILTER(_xlpm.champ,(suivi['#support.saison_en_cours]=1)*(_xlpm.champ&lt;&gt;"")*(suivi[membre.id]=annuaire[[#This Row],[id]]))),""),
INDEX(_xlpm.liste_unique,ROWS(_xlpm.liste_unique)))</f>
        <v/>
      </c>
      <c r="AD6" t="str">
        <f ca="1">IF(OR(annuaire[[#This Row],[saison.cotis]]=1,annuaire[[#This Row],[stats.der_activite]]&gt;EDATE(TODAY(),-12)),1,"")</f>
        <v/>
      </c>
      <c r="AE6" s="7" t="str">
        <f>IF(annuaire[[#This Row],[saison.presence]]=0,"",IF(annuaire[[#This Row],[saison.cotis]]=1," ", annuaire[[#This Row],[saison.presence]]))</f>
        <v/>
      </c>
      <c r="AF6" t="str">
        <f>IF(annuaire[[#This Row],[pseudo_discord]]="","",MATCH(annuaire[[#This Row],[pseudo_discord]],#REF!,0))</f>
        <v/>
      </c>
    </row>
    <row r="7" spans="1:32" x14ac:dyDescent="0.25">
      <c r="A7" s="10">
        <v>6</v>
      </c>
      <c r="B7" s="1">
        <f>_xlfn.MINIFS(suivi[date],suivi[membre.id],annuaire[[#This Row],[id]])</f>
        <v>0</v>
      </c>
      <c r="C7" t="str" cm="1">
        <f t="array" ref="C7">_xlfn.LET(_xlpm.champ,suivi[membre.prive.nom],
_xlpm.liste_unique,IFERROR(_xlfn.UNIQUE(_xlfn._xlws.FILTER(_xlpm.champ,(_xlpm.champ&lt;&gt;"")*(suivi[membre.id]=annuaire[[#This Row],[id]]))),""),
INDEX(_xlpm.liste_unique,ROWS(_xlpm.liste_unique)))</f>
        <v/>
      </c>
      <c r="D7" t="str" cm="1">
        <f t="array" ref="D7">_xlfn.LET(_xlpm.champ,suivi[membre.prive.prenom],
_xlpm.liste_unique,IFERROR(_xlfn.UNIQUE(_xlfn._xlws.FILTER(_xlpm.champ,(_xlpm.champ&lt;&gt;"")*(suivi[membre.id]=annuaire[[#This Row],[id]]))),""),
INDEX(_xlpm.liste_unique,ROWS(_xlpm.liste_unique)))</f>
        <v/>
      </c>
      <c r="E7" s="1" t="str" cm="1">
        <f t="array" ref="E7">_xlfn.LET(_xlpm.champ,suivi[membre.prive.date_naissance],
_xlpm.liste_unique,IFERROR(_xlfn.UNIQUE(_xlfn._xlws.FILTER(_xlpm.champ,(_xlpm.champ&lt;&gt;"")*(suivi[membre.id]=annuaire[[#This Row],[id]]))),""),
INDEX(_xlpm.liste_unique,ROWS(_xlpm.liste_unique)))</f>
        <v/>
      </c>
      <c r="F7" s="3" t="str" cm="1">
        <f t="array" ref="F7">_xlfn.LET(_xlpm.champ,suivi[membre.prive.'[emails']],
_xlpm.liste_unique,IFERROR(_xlfn.UNIQUE(_xlfn._xlws.FILTER(_xlpm.champ,(_xlpm.champ&lt;&gt;"")*(suivi[membre.id]=annuaire[[#This Row],[id]]))),""),
INDEX(_xlpm.liste_unique,ROWS(_xlpm.liste_unique)))</f>
        <v/>
      </c>
      <c r="G7" t="str" cm="1">
        <f t="array" ref="G7">_xlfn.LET(_xlpm.champ,suivi[membre.prive.'[telephone']],
_xlpm.liste_unique,IFERROR(_xlfn.UNIQUE(_xlfn._xlws.FILTER(_xlpm.champ,(_xlpm.champ&lt;&gt;"")*(suivi[membre.id]=annuaire[[#This Row],[id]]))),""),
INDEX(_xlpm.liste_unique,ROWS(_xlpm.liste_unique)))</f>
        <v/>
      </c>
      <c r="H7" t="str" cm="1">
        <f t="array" ref="H7">_xlfn.LET(_xlpm.champ,suivi[membre.prive.adresse.numero],
_xlpm.liste_unique,IFERROR(_xlfn.UNIQUE(_xlfn._xlws.FILTER(_xlpm.champ,(_xlpm.champ&lt;&gt;"")*(suivi[membre.id]=annuaire[[#This Row],[id]]))),""),
INDEX(_xlpm.liste_unique,ROWS(_xlpm.liste_unique)))</f>
        <v/>
      </c>
      <c r="I7" t="str" cm="1">
        <f t="array" ref="I7">_xlfn.LET(_xlpm.champ,suivi[membre.prive.adresse.type_voie],
_xlpm.liste_unique,IFERROR(_xlfn.UNIQUE(_xlfn._xlws.FILTER(_xlpm.champ,(_xlpm.champ&lt;&gt;"")*(suivi[membre.id]=annuaire[[#This Row],[id]]))),""),
INDEX(_xlpm.liste_unique,ROWS(_xlpm.liste_unique)))</f>
        <v/>
      </c>
      <c r="J7" t="str" cm="1">
        <f t="array" ref="J7">_xlfn.LET(_xlpm.champ,suivi[membre.prive.adresse.nom_voie],
_xlpm.liste_unique,IFERROR(_xlfn.UNIQUE(_xlfn._xlws.FILTER(_xlpm.champ,(_xlpm.champ&lt;&gt;"")*(suivi[membre.id]=annuaire[[#This Row],[id]]))),""),
INDEX(_xlpm.liste_unique,ROWS(_xlpm.liste_unique)))</f>
        <v/>
      </c>
      <c r="K7" t="str" cm="1">
        <f t="array" ref="K7">_xlfn.LET(_xlpm.champ,suivi[membre.prive.adresse.autre],
_xlpm.liste_unique,IFERROR(_xlfn.UNIQUE(_xlfn._xlws.FILTER(_xlpm.champ,(_xlpm.champ&lt;&gt;"")*(suivi[membre.id]=annuaire[[#This Row],[id]]))),""),
INDEX(_xlpm.liste_unique,ROWS(_xlpm.liste_unique)))</f>
        <v/>
      </c>
      <c r="L7" t="str" cm="1">
        <f t="array" ref="L7">_xlfn.LET(_xlpm.champ,suivi[membre.prive.adresse.cp],
_xlpm.liste_unique,IFERROR(_xlfn.UNIQUE(_xlfn._xlws.FILTER(_xlpm.champ,(_xlpm.champ&lt;&gt;"")*(suivi[membre.id]=annuaire[[#This Row],[id]]))),""),
INDEX(_xlpm.liste_unique,ROWS(_xlpm.liste_unique)))</f>
        <v/>
      </c>
      <c r="M7" s="5" t="str" cm="1">
        <f t="array" ref="M7">_xlfn.LET(_xlpm.champ,suivi[membre.prive.adresse.ville],
_xlpm.liste_unique,IFERROR(_xlfn.UNIQUE(_xlfn._xlws.FILTER(_xlpm.champ,(_xlpm.champ&lt;&gt;"")*(suivi[membre.id]=annuaire[[#This Row],[id]]))),""),
INDEX(_xlpm.liste_unique,ROWS(_xlpm.liste_unique)))</f>
        <v/>
      </c>
      <c r="N7" t="str" cm="1">
        <f t="array" ref="N7">_xlfn.LET(_xlpm.champ,suivi[membre.prive.pseudo_discord],
_xlpm.liste_unique,IFERROR(_xlfn.UNIQUE(_xlfn._xlws.FILTER(_xlpm.champ,(_xlpm.champ&lt;&gt;"")*(suivi[membre.id]=annuaire[[#This Row],[id]]))),""),
INDEX(_xlpm.liste_unique,ROWS(_xlpm.liste_unique)))</f>
        <v/>
      </c>
      <c r="O7" t="str" cm="1">
        <f t="array" ref="O7">_xlfn.LET(_xlpm.champ,suivi[membre.source_connaissance],
_xlpm.liste_unique,IFERROR(_xlfn.UNIQUE(_xlfn._xlws.FILTER(_xlpm.champ,(_xlpm.champ&lt;&gt;"")*(suivi[membre.id]=annuaire[[#This Row],[id]]))),""),
INDEX(_xlpm.liste_unique,ROWS(_xlpm.liste_unique)))</f>
        <v/>
      </c>
      <c r="P7" t="str">
        <f>IF(annuaire[[#This Row],[nom]]&lt;&gt;"",PROPER(annuaire[[#This Row],[nom]])&amp;IF(annuaire[[#This Row],[prenom]]&lt;&gt;""," "&amp;PROPER(annuaire[[#This Row],[prenom]]),""),
IF(annuaire[[#This Row],[pseudo_discord]]&lt;&gt;"","[discord] "&amp;annuaire[[#This Row],[pseudo_discord]]&amp;IF(annuaire[[#This Row],[prenom]]&lt;&gt;""," ("&amp;PROPER(annuaire[[#This Row],[prenom]])&amp;")",""),
IF(annuaire[[#This Row],[emails]]&lt;&gt;"","[email] "&amp;annuaire[[#This Row],[emails]]&amp;IF(annuaire[[#This Row],[prenom]]&lt;&gt;""," ("&amp;PROPER(annuaire[[#This Row],[prenom]])&amp;")",""),
IF(annuaire[[#This Row],[prenom]]&lt;&gt;"",PROPER(annuaire[[#This Row],[prenom]]),"AJ-"&amp;TEXT(annuaire[[#This Row],[id]],"00000")))))</f>
        <v>AJ-00006</v>
      </c>
      <c r="Q7" s="8">
        <f>COUNTIFS(suivi[entree.categorie],cotisation,suivi[membre.id],annuaire[[#This Row],[id]])</f>
        <v>0</v>
      </c>
      <c r="R7" s="9" t="str">
        <f>_xlfn.LET(_xlpm.der_pres,_xlfn.MINIFS(suivi[date],suivi[entree.categorie],cotisation,suivi[membre.id],annuaire[[#This Row],[id]]),
IF(_xlpm.der_pres=0,"",_xlpm.der_pres))</f>
        <v/>
      </c>
      <c r="S7" s="9" t="str">
        <f>_xlfn.LET(_xlpm.der_pres,_xlfn.MAXIFS(suivi[date],suivi[entree.categorie],cotisation,suivi[membre.id],annuaire[[#This Row],[id]]),
IF(_xlpm.der_pres=0,"",_xlpm.der_pres))</f>
        <v/>
      </c>
      <c r="T7" s="8">
        <f>COUNTIFS(suivi[entree.categorie],presence,suivi[membre.id],annuaire[[#This Row],[id]])</f>
        <v>0</v>
      </c>
      <c r="U7" s="9">
        <f>_xlfn.MAXIFS(suivi[date],suivi[membre.id],annuaire[[#This Row],[id]])</f>
        <v>0</v>
      </c>
      <c r="V7" s="8">
        <f>COUNTIFS(suivi[entree.categorie],presence,suivi[membre.id],annuaire[[#This Row],[id]],suivi['#support.saison_en_cours],1)</f>
        <v>0</v>
      </c>
      <c r="W7" s="8">
        <f>IF(COUNTIFS(suivi[entree.categorie],cotisation,suivi[membre.id],annuaire[[#This Row],[id]],suivi['#support.saison_en_cours],1)&gt;0,1,0)</f>
        <v>0</v>
      </c>
      <c r="X7" t="b">
        <f ca="1">IF(annuaire[[#This Row],[stats.cotis.derniere]]="",FALSE,
_xlfn.LET(
_xlpm.derniere_cotis_nb_mois,ROUNDDOWN((saison_debut-annuaire[[#This Row],[stats.cotis.derniere]])/30,1),
_xlpm.derniere_cotis_saison_precedente,AND(_xlpm.derniere_cotis_nb_mois&gt;0,_xlpm.derniere_cotis_nb_mois&lt;13),
_xlpm.nouvelle_saison_depuismoins2mois,(TODAY()-saison_debut)/30&lt;3,
AND(_xlpm.derniere_cotis_saison_precedente,_xlpm.nouvelle_saison_depuismoins2mois)
)
)</f>
        <v>0</v>
      </c>
      <c r="Y7" t="str" cm="1">
        <f t="array" ref="Y7">IFERROR(_xlfn.LET(_xlpm.filtre_table_suivi_saison_role,(suivi[membre.asso_role]&lt;&gt;"")*(suivi['#support.saison_en_cours]=1),
                                             _xlpm.nomination_saison_id,_xlfn._xlws.FILTER(suivi[membre.id],_xlpm.filtre_table_suivi_saison_role),
                                             _xlpm.nomination_saison_role,_xlfn._xlws.FILTER(suivi[membre.asso_role],_xlpm.filtre_table_suivi_saison_role),
                                             INDEX(_xlpm.nomination_saison_role,MATCH(annuaire[[#This Row],[id]],_xlpm.nomination_saison_id,0))),
                                         "")</f>
        <v/>
      </c>
      <c r="Z7" t="str">
        <f ca="1">IF(annuaire[[#This Row],[saison.asso_role_manuel]]&lt;&gt;"",annuaire[[#This Row],[saison.asso_role_manuel]],
IF(annuaire[[#This Row],[saison.cotis]]&gt;0,cotisant,
IF(annuaire[[#This Row],[saison.precedente]],cotisant_saison_prec,
"")))</f>
        <v/>
      </c>
      <c r="AA7" t="str" cm="1">
        <f t="array" ref="AA7">_xlfn.LET(_xlpm.champ,suivi[membre.prive.approbation_statuts],
_xlpm.liste_unique,IFERROR(_xlfn.UNIQUE(_xlfn._xlws.FILTER(_xlpm.champ,(suivi['#support.saison_en_cours]=1)*(_xlpm.champ&lt;&gt;"")*(suivi[membre.id]=annuaire[[#This Row],[id]]))),""),
INDEX(_xlpm.liste_unique,ROWS(_xlpm.liste_unique)))</f>
        <v/>
      </c>
      <c r="AB7" t="str" cm="1">
        <f t="array" ref="AB7">_xlfn.LET(_xlpm.champ,suivi[membre.prive.assurance_resp_civile],
_xlpm.liste_unique,IFERROR(_xlfn.UNIQUE(_xlfn._xlws.FILTER(_xlpm.champ,(suivi['#support.saison_en_cours]=1)*(_xlpm.champ&lt;&gt;"")*(suivi[membre.id]=annuaire[[#This Row],[id]]))),""),
INDEX(_xlpm.liste_unique,ROWS(_xlpm.liste_unique)))</f>
        <v/>
      </c>
      <c r="AC7" t="str" cm="1">
        <f t="array" ref="AC7">_xlfn.LET(_xlpm.champ,suivi[membre.prive.utilisation_image],
_xlpm.liste_unique,IFERROR(_xlfn.UNIQUE(_xlfn._xlws.FILTER(_xlpm.champ,(suivi['#support.saison_en_cours]=1)*(_xlpm.champ&lt;&gt;"")*(suivi[membre.id]=annuaire[[#This Row],[id]]))),""),
INDEX(_xlpm.liste_unique,ROWS(_xlpm.liste_unique)))</f>
        <v/>
      </c>
      <c r="AD7" t="str">
        <f ca="1">IF(OR(annuaire[[#This Row],[saison.cotis]]=1,annuaire[[#This Row],[stats.der_activite]]&gt;EDATE(TODAY(),-12)),1,"")</f>
        <v/>
      </c>
      <c r="AE7" s="7" t="str">
        <f>IF(annuaire[[#This Row],[saison.presence]]=0,"",IF(annuaire[[#This Row],[saison.cotis]]=1," ", annuaire[[#This Row],[saison.presence]]))</f>
        <v/>
      </c>
      <c r="AF7" t="str">
        <f>IF(annuaire[[#This Row],[pseudo_discord]]="","",MATCH(annuaire[[#This Row],[pseudo_discord]],#REF!,0))</f>
        <v/>
      </c>
    </row>
    <row r="8" spans="1:32" x14ac:dyDescent="0.25">
      <c r="A8" s="10">
        <v>7</v>
      </c>
      <c r="B8" s="1">
        <f>_xlfn.MINIFS(suivi[date],suivi[membre.id],annuaire[[#This Row],[id]])</f>
        <v>0</v>
      </c>
      <c r="C8" t="str" cm="1">
        <f t="array" ref="C8">_xlfn.LET(_xlpm.champ,suivi[membre.prive.nom],
_xlpm.liste_unique,IFERROR(_xlfn.UNIQUE(_xlfn._xlws.FILTER(_xlpm.champ,(_xlpm.champ&lt;&gt;"")*(suivi[membre.id]=annuaire[[#This Row],[id]]))),""),
INDEX(_xlpm.liste_unique,ROWS(_xlpm.liste_unique)))</f>
        <v/>
      </c>
      <c r="D8" t="str" cm="1">
        <f t="array" ref="D8">_xlfn.LET(_xlpm.champ,suivi[membre.prive.prenom],
_xlpm.liste_unique,IFERROR(_xlfn.UNIQUE(_xlfn._xlws.FILTER(_xlpm.champ,(_xlpm.champ&lt;&gt;"")*(suivi[membre.id]=annuaire[[#This Row],[id]]))),""),
INDEX(_xlpm.liste_unique,ROWS(_xlpm.liste_unique)))</f>
        <v/>
      </c>
      <c r="E8" s="1" t="str" cm="1">
        <f t="array" ref="E8">_xlfn.LET(_xlpm.champ,suivi[membre.prive.date_naissance],
_xlpm.liste_unique,IFERROR(_xlfn.UNIQUE(_xlfn._xlws.FILTER(_xlpm.champ,(_xlpm.champ&lt;&gt;"")*(suivi[membre.id]=annuaire[[#This Row],[id]]))),""),
INDEX(_xlpm.liste_unique,ROWS(_xlpm.liste_unique)))</f>
        <v/>
      </c>
      <c r="F8" s="3" t="str" cm="1">
        <f t="array" ref="F8">_xlfn.LET(_xlpm.champ,suivi[membre.prive.'[emails']],
_xlpm.liste_unique,IFERROR(_xlfn.UNIQUE(_xlfn._xlws.FILTER(_xlpm.champ,(_xlpm.champ&lt;&gt;"")*(suivi[membre.id]=annuaire[[#This Row],[id]]))),""),
INDEX(_xlpm.liste_unique,ROWS(_xlpm.liste_unique)))</f>
        <v/>
      </c>
      <c r="G8" t="str" cm="1">
        <f t="array" ref="G8">_xlfn.LET(_xlpm.champ,suivi[membre.prive.'[telephone']],
_xlpm.liste_unique,IFERROR(_xlfn.UNIQUE(_xlfn._xlws.FILTER(_xlpm.champ,(_xlpm.champ&lt;&gt;"")*(suivi[membre.id]=annuaire[[#This Row],[id]]))),""),
INDEX(_xlpm.liste_unique,ROWS(_xlpm.liste_unique)))</f>
        <v/>
      </c>
      <c r="H8" t="str" cm="1">
        <f t="array" ref="H8">_xlfn.LET(_xlpm.champ,suivi[membre.prive.adresse.numero],
_xlpm.liste_unique,IFERROR(_xlfn.UNIQUE(_xlfn._xlws.FILTER(_xlpm.champ,(_xlpm.champ&lt;&gt;"")*(suivi[membre.id]=annuaire[[#This Row],[id]]))),""),
INDEX(_xlpm.liste_unique,ROWS(_xlpm.liste_unique)))</f>
        <v/>
      </c>
      <c r="I8" s="2" t="str" cm="1">
        <f t="array" ref="I8">_xlfn.LET(_xlpm.champ,suivi[membre.prive.adresse.type_voie],
_xlpm.liste_unique,IFERROR(_xlfn.UNIQUE(_xlfn._xlws.FILTER(_xlpm.champ,(_xlpm.champ&lt;&gt;"")*(suivi[membre.id]=annuaire[[#This Row],[id]]))),""),
INDEX(_xlpm.liste_unique,ROWS(_xlpm.liste_unique)))</f>
        <v/>
      </c>
      <c r="J8" t="str" cm="1">
        <f t="array" ref="J8">_xlfn.LET(_xlpm.champ,suivi[membre.prive.adresse.nom_voie],
_xlpm.liste_unique,IFERROR(_xlfn.UNIQUE(_xlfn._xlws.FILTER(_xlpm.champ,(_xlpm.champ&lt;&gt;"")*(suivi[membre.id]=annuaire[[#This Row],[id]]))),""),
INDEX(_xlpm.liste_unique,ROWS(_xlpm.liste_unique)))</f>
        <v/>
      </c>
      <c r="K8" t="str" cm="1">
        <f t="array" ref="K8">_xlfn.LET(_xlpm.champ,suivi[membre.prive.adresse.autre],
_xlpm.liste_unique,IFERROR(_xlfn.UNIQUE(_xlfn._xlws.FILTER(_xlpm.champ,(_xlpm.champ&lt;&gt;"")*(suivi[membre.id]=annuaire[[#This Row],[id]]))),""),
INDEX(_xlpm.liste_unique,ROWS(_xlpm.liste_unique)))</f>
        <v/>
      </c>
      <c r="L8" t="str" cm="1">
        <f t="array" ref="L8">_xlfn.LET(_xlpm.champ,suivi[membre.prive.adresse.cp],
_xlpm.liste_unique,IFERROR(_xlfn.UNIQUE(_xlfn._xlws.FILTER(_xlpm.champ,(_xlpm.champ&lt;&gt;"")*(suivi[membre.id]=annuaire[[#This Row],[id]]))),""),
INDEX(_xlpm.liste_unique,ROWS(_xlpm.liste_unique)))</f>
        <v/>
      </c>
      <c r="M8" s="5" t="str" cm="1">
        <f t="array" ref="M8">_xlfn.LET(_xlpm.champ,suivi[membre.prive.adresse.ville],
_xlpm.liste_unique,IFERROR(_xlfn.UNIQUE(_xlfn._xlws.FILTER(_xlpm.champ,(_xlpm.champ&lt;&gt;"")*(suivi[membre.id]=annuaire[[#This Row],[id]]))),""),
INDEX(_xlpm.liste_unique,ROWS(_xlpm.liste_unique)))</f>
        <v/>
      </c>
      <c r="N8" t="str" cm="1">
        <f t="array" ref="N8">_xlfn.LET(_xlpm.champ,suivi[membre.prive.pseudo_discord],
_xlpm.liste_unique,IFERROR(_xlfn.UNIQUE(_xlfn._xlws.FILTER(_xlpm.champ,(_xlpm.champ&lt;&gt;"")*(suivi[membre.id]=annuaire[[#This Row],[id]]))),""),
INDEX(_xlpm.liste_unique,ROWS(_xlpm.liste_unique)))</f>
        <v/>
      </c>
      <c r="O8" t="str" cm="1">
        <f t="array" ref="O8">_xlfn.LET(_xlpm.champ,suivi[membre.source_connaissance],
_xlpm.liste_unique,IFERROR(_xlfn.UNIQUE(_xlfn._xlws.FILTER(_xlpm.champ,(_xlpm.champ&lt;&gt;"")*(suivi[membre.id]=annuaire[[#This Row],[id]]))),""),
INDEX(_xlpm.liste_unique,ROWS(_xlpm.liste_unique)))</f>
        <v/>
      </c>
      <c r="P8" t="str">
        <f>IF(annuaire[[#This Row],[nom]]&lt;&gt;"",PROPER(annuaire[[#This Row],[nom]])&amp;IF(annuaire[[#This Row],[prenom]]&lt;&gt;""," "&amp;PROPER(annuaire[[#This Row],[prenom]]),""),
IF(annuaire[[#This Row],[pseudo_discord]]&lt;&gt;"","[discord] "&amp;annuaire[[#This Row],[pseudo_discord]]&amp;IF(annuaire[[#This Row],[prenom]]&lt;&gt;""," ("&amp;PROPER(annuaire[[#This Row],[prenom]])&amp;")",""),
IF(annuaire[[#This Row],[emails]]&lt;&gt;"","[email] "&amp;annuaire[[#This Row],[emails]]&amp;IF(annuaire[[#This Row],[prenom]]&lt;&gt;""," ("&amp;PROPER(annuaire[[#This Row],[prenom]])&amp;")",""),
IF(annuaire[[#This Row],[prenom]]&lt;&gt;"",PROPER(annuaire[[#This Row],[prenom]]),"AJ-"&amp;TEXT(annuaire[[#This Row],[id]],"00000")))))</f>
        <v>AJ-00007</v>
      </c>
      <c r="Q8" s="8">
        <f>COUNTIFS(suivi[entree.categorie],cotisation,suivi[membre.id],annuaire[[#This Row],[id]])</f>
        <v>0</v>
      </c>
      <c r="R8" s="9" t="str">
        <f>_xlfn.LET(_xlpm.der_pres,_xlfn.MINIFS(suivi[date],suivi[entree.categorie],cotisation,suivi[membre.id],annuaire[[#This Row],[id]]),
IF(_xlpm.der_pres=0,"",_xlpm.der_pres))</f>
        <v/>
      </c>
      <c r="S8" s="9" t="str">
        <f>_xlfn.LET(_xlpm.der_pres,_xlfn.MAXIFS(suivi[date],suivi[entree.categorie],cotisation,suivi[membre.id],annuaire[[#This Row],[id]]),
IF(_xlpm.der_pres=0,"",_xlpm.der_pres))</f>
        <v/>
      </c>
      <c r="T8" s="8">
        <f>COUNTIFS(suivi[entree.categorie],presence,suivi[membre.id],annuaire[[#This Row],[id]])</f>
        <v>0</v>
      </c>
      <c r="U8" s="9">
        <f>_xlfn.MAXIFS(suivi[date],suivi[membre.id],annuaire[[#This Row],[id]])</f>
        <v>0</v>
      </c>
      <c r="V8" s="8">
        <f>COUNTIFS(suivi[entree.categorie],presence,suivi[membre.id],annuaire[[#This Row],[id]],suivi['#support.saison_en_cours],1)</f>
        <v>0</v>
      </c>
      <c r="W8" s="8">
        <f>IF(COUNTIFS(suivi[entree.categorie],cotisation,suivi[membre.id],annuaire[[#This Row],[id]],suivi['#support.saison_en_cours],1)&gt;0,1,0)</f>
        <v>0</v>
      </c>
      <c r="X8" t="b">
        <f ca="1">IF(annuaire[[#This Row],[stats.cotis.derniere]]="",FALSE,
_xlfn.LET(
_xlpm.derniere_cotis_nb_mois,ROUNDDOWN((saison_debut-annuaire[[#This Row],[stats.cotis.derniere]])/30,1),
_xlpm.derniere_cotis_saison_precedente,AND(_xlpm.derniere_cotis_nb_mois&gt;0,_xlpm.derniere_cotis_nb_mois&lt;13),
_xlpm.nouvelle_saison_depuismoins2mois,(TODAY()-saison_debut)/30&lt;3,
AND(_xlpm.derniere_cotis_saison_precedente,_xlpm.nouvelle_saison_depuismoins2mois)
)
)</f>
        <v>0</v>
      </c>
      <c r="Y8" t="str" cm="1">
        <f t="array" ref="Y8">IFERROR(_xlfn.LET(_xlpm.filtre_table_suivi_saison_role,(suivi[membre.asso_role]&lt;&gt;"")*(suivi['#support.saison_en_cours]=1),
                                             _xlpm.nomination_saison_id,_xlfn._xlws.FILTER(suivi[membre.id],_xlpm.filtre_table_suivi_saison_role),
                                             _xlpm.nomination_saison_role,_xlfn._xlws.FILTER(suivi[membre.asso_role],_xlpm.filtre_table_suivi_saison_role),
                                             INDEX(_xlpm.nomination_saison_role,MATCH(annuaire[[#This Row],[id]],_xlpm.nomination_saison_id,0))),
                                         "")</f>
        <v/>
      </c>
      <c r="Z8" t="str">
        <f ca="1">IF(annuaire[[#This Row],[saison.asso_role_manuel]]&lt;&gt;"",annuaire[[#This Row],[saison.asso_role_manuel]],
IF(annuaire[[#This Row],[saison.cotis]]&gt;0,cotisant,
IF(annuaire[[#This Row],[saison.precedente]],cotisant_saison_prec,
"")))</f>
        <v/>
      </c>
      <c r="AA8" t="str" cm="1">
        <f t="array" ref="AA8">_xlfn.LET(_xlpm.champ,suivi[membre.prive.approbation_statuts],
_xlpm.liste_unique,IFERROR(_xlfn.UNIQUE(_xlfn._xlws.FILTER(_xlpm.champ,(suivi['#support.saison_en_cours]=1)*(_xlpm.champ&lt;&gt;"")*(suivi[membre.id]=annuaire[[#This Row],[id]]))),""),
INDEX(_xlpm.liste_unique,ROWS(_xlpm.liste_unique)))</f>
        <v/>
      </c>
      <c r="AB8" t="str" cm="1">
        <f t="array" ref="AB8">_xlfn.LET(_xlpm.champ,suivi[membre.prive.assurance_resp_civile],
_xlpm.liste_unique,IFERROR(_xlfn.UNIQUE(_xlfn._xlws.FILTER(_xlpm.champ,(suivi['#support.saison_en_cours]=1)*(_xlpm.champ&lt;&gt;"")*(suivi[membre.id]=annuaire[[#This Row],[id]]))),""),
INDEX(_xlpm.liste_unique,ROWS(_xlpm.liste_unique)))</f>
        <v/>
      </c>
      <c r="AC8" t="str" cm="1">
        <f t="array" ref="AC8">_xlfn.LET(_xlpm.champ,suivi[membre.prive.utilisation_image],
_xlpm.liste_unique,IFERROR(_xlfn.UNIQUE(_xlfn._xlws.FILTER(_xlpm.champ,(suivi['#support.saison_en_cours]=1)*(_xlpm.champ&lt;&gt;"")*(suivi[membre.id]=annuaire[[#This Row],[id]]))),""),
INDEX(_xlpm.liste_unique,ROWS(_xlpm.liste_unique)))</f>
        <v/>
      </c>
      <c r="AD8" t="str">
        <f ca="1">IF(OR(annuaire[[#This Row],[saison.cotis]]=1,annuaire[[#This Row],[stats.der_activite]]&gt;EDATE(TODAY(),-12)),1,"")</f>
        <v/>
      </c>
      <c r="AE8" s="7" t="str">
        <f>IF(annuaire[[#This Row],[saison.presence]]=0,"",IF(annuaire[[#This Row],[saison.cotis]]=1," ", annuaire[[#This Row],[saison.presence]]))</f>
        <v/>
      </c>
      <c r="AF8" t="str">
        <f>IF(annuaire[[#This Row],[pseudo_discord]]="","",MATCH(annuaire[[#This Row],[pseudo_discord]],#REF!,0))</f>
        <v/>
      </c>
    </row>
    <row r="9" spans="1:32" x14ac:dyDescent="0.25">
      <c r="A9" s="10">
        <v>8</v>
      </c>
      <c r="B9" s="1">
        <f>_xlfn.MINIFS(suivi[date],suivi[membre.id],annuaire[[#This Row],[id]])</f>
        <v>0</v>
      </c>
      <c r="C9" t="str" cm="1">
        <f t="array" ref="C9">_xlfn.LET(_xlpm.champ,suivi[membre.prive.nom],
_xlpm.liste_unique,IFERROR(_xlfn.UNIQUE(_xlfn._xlws.FILTER(_xlpm.champ,(_xlpm.champ&lt;&gt;"")*(suivi[membre.id]=annuaire[[#This Row],[id]]))),""),
INDEX(_xlpm.liste_unique,ROWS(_xlpm.liste_unique)))</f>
        <v/>
      </c>
      <c r="D9" t="str" cm="1">
        <f t="array" ref="D9">_xlfn.LET(_xlpm.champ,suivi[membre.prive.prenom],
_xlpm.liste_unique,IFERROR(_xlfn.UNIQUE(_xlfn._xlws.FILTER(_xlpm.champ,(_xlpm.champ&lt;&gt;"")*(suivi[membre.id]=annuaire[[#This Row],[id]]))),""),
INDEX(_xlpm.liste_unique,ROWS(_xlpm.liste_unique)))</f>
        <v/>
      </c>
      <c r="E9" s="1" t="str" cm="1">
        <f t="array" ref="E9">_xlfn.LET(_xlpm.champ,suivi[membre.prive.date_naissance],
_xlpm.liste_unique,IFERROR(_xlfn.UNIQUE(_xlfn._xlws.FILTER(_xlpm.champ,(_xlpm.champ&lt;&gt;"")*(suivi[membre.id]=annuaire[[#This Row],[id]]))),""),
INDEX(_xlpm.liste_unique,ROWS(_xlpm.liste_unique)))</f>
        <v/>
      </c>
      <c r="F9" s="3" t="str" cm="1">
        <f t="array" ref="F9">_xlfn.LET(_xlpm.champ,suivi[membre.prive.'[emails']],
_xlpm.liste_unique,IFERROR(_xlfn.UNIQUE(_xlfn._xlws.FILTER(_xlpm.champ,(_xlpm.champ&lt;&gt;"")*(suivi[membre.id]=annuaire[[#This Row],[id]]))),""),
INDEX(_xlpm.liste_unique,ROWS(_xlpm.liste_unique)))</f>
        <v/>
      </c>
      <c r="G9" t="str" cm="1">
        <f t="array" ref="G9">_xlfn.LET(_xlpm.champ,suivi[membre.prive.'[telephone']],
_xlpm.liste_unique,IFERROR(_xlfn.UNIQUE(_xlfn._xlws.FILTER(_xlpm.champ,(_xlpm.champ&lt;&gt;"")*(suivi[membre.id]=annuaire[[#This Row],[id]]))),""),
INDEX(_xlpm.liste_unique,ROWS(_xlpm.liste_unique)))</f>
        <v/>
      </c>
      <c r="H9" t="str" cm="1">
        <f t="array" ref="H9">_xlfn.LET(_xlpm.champ,suivi[membre.prive.adresse.numero],
_xlpm.liste_unique,IFERROR(_xlfn.UNIQUE(_xlfn._xlws.FILTER(_xlpm.champ,(_xlpm.champ&lt;&gt;"")*(suivi[membre.id]=annuaire[[#This Row],[id]]))),""),
INDEX(_xlpm.liste_unique,ROWS(_xlpm.liste_unique)))</f>
        <v/>
      </c>
      <c r="I9" t="str" cm="1">
        <f t="array" ref="I9">_xlfn.LET(_xlpm.champ,suivi[membre.prive.adresse.type_voie],
_xlpm.liste_unique,IFERROR(_xlfn.UNIQUE(_xlfn._xlws.FILTER(_xlpm.champ,(_xlpm.champ&lt;&gt;"")*(suivi[membre.id]=annuaire[[#This Row],[id]]))),""),
INDEX(_xlpm.liste_unique,ROWS(_xlpm.liste_unique)))</f>
        <v/>
      </c>
      <c r="J9" t="str" cm="1">
        <f t="array" ref="J9">_xlfn.LET(_xlpm.champ,suivi[membre.prive.adresse.nom_voie],
_xlpm.liste_unique,IFERROR(_xlfn.UNIQUE(_xlfn._xlws.FILTER(_xlpm.champ,(_xlpm.champ&lt;&gt;"")*(suivi[membre.id]=annuaire[[#This Row],[id]]))),""),
INDEX(_xlpm.liste_unique,ROWS(_xlpm.liste_unique)))</f>
        <v/>
      </c>
      <c r="K9" t="str" cm="1">
        <f t="array" ref="K9">_xlfn.LET(_xlpm.champ,suivi[membre.prive.adresse.autre],
_xlpm.liste_unique,IFERROR(_xlfn.UNIQUE(_xlfn._xlws.FILTER(_xlpm.champ,(_xlpm.champ&lt;&gt;"")*(suivi[membre.id]=annuaire[[#This Row],[id]]))),""),
INDEX(_xlpm.liste_unique,ROWS(_xlpm.liste_unique)))</f>
        <v/>
      </c>
      <c r="L9" t="str" cm="1">
        <f t="array" ref="L9">_xlfn.LET(_xlpm.champ,suivi[membre.prive.adresse.cp],
_xlpm.liste_unique,IFERROR(_xlfn.UNIQUE(_xlfn._xlws.FILTER(_xlpm.champ,(_xlpm.champ&lt;&gt;"")*(suivi[membre.id]=annuaire[[#This Row],[id]]))),""),
INDEX(_xlpm.liste_unique,ROWS(_xlpm.liste_unique)))</f>
        <v/>
      </c>
      <c r="M9" s="5" t="str" cm="1">
        <f t="array" ref="M9">_xlfn.LET(_xlpm.champ,suivi[membre.prive.adresse.ville],
_xlpm.liste_unique,IFERROR(_xlfn.UNIQUE(_xlfn._xlws.FILTER(_xlpm.champ,(_xlpm.champ&lt;&gt;"")*(suivi[membre.id]=annuaire[[#This Row],[id]]))),""),
INDEX(_xlpm.liste_unique,ROWS(_xlpm.liste_unique)))</f>
        <v/>
      </c>
      <c r="N9" t="str" cm="1">
        <f t="array" ref="N9">_xlfn.LET(_xlpm.champ,suivi[membre.prive.pseudo_discord],
_xlpm.liste_unique,IFERROR(_xlfn.UNIQUE(_xlfn._xlws.FILTER(_xlpm.champ,(_xlpm.champ&lt;&gt;"")*(suivi[membre.id]=annuaire[[#This Row],[id]]))),""),
INDEX(_xlpm.liste_unique,ROWS(_xlpm.liste_unique)))</f>
        <v/>
      </c>
      <c r="O9" t="str" cm="1">
        <f t="array" ref="O9">_xlfn.LET(_xlpm.champ,suivi[membre.source_connaissance],
_xlpm.liste_unique,IFERROR(_xlfn.UNIQUE(_xlfn._xlws.FILTER(_xlpm.champ,(_xlpm.champ&lt;&gt;"")*(suivi[membre.id]=annuaire[[#This Row],[id]]))),""),
INDEX(_xlpm.liste_unique,ROWS(_xlpm.liste_unique)))</f>
        <v/>
      </c>
      <c r="P9" t="str">
        <f>IF(annuaire[[#This Row],[nom]]&lt;&gt;"",PROPER(annuaire[[#This Row],[nom]])&amp;IF(annuaire[[#This Row],[prenom]]&lt;&gt;""," "&amp;PROPER(annuaire[[#This Row],[prenom]]),""),
IF(annuaire[[#This Row],[pseudo_discord]]&lt;&gt;"","[discord] "&amp;annuaire[[#This Row],[pseudo_discord]]&amp;IF(annuaire[[#This Row],[prenom]]&lt;&gt;""," ("&amp;PROPER(annuaire[[#This Row],[prenom]])&amp;")",""),
IF(annuaire[[#This Row],[emails]]&lt;&gt;"","[email] "&amp;annuaire[[#This Row],[emails]]&amp;IF(annuaire[[#This Row],[prenom]]&lt;&gt;""," ("&amp;PROPER(annuaire[[#This Row],[prenom]])&amp;")",""),
IF(annuaire[[#This Row],[prenom]]&lt;&gt;"",PROPER(annuaire[[#This Row],[prenom]]),"AJ-"&amp;TEXT(annuaire[[#This Row],[id]],"00000")))))</f>
        <v>AJ-00008</v>
      </c>
      <c r="Q9" s="8">
        <f>COUNTIFS(suivi[entree.categorie],cotisation,suivi[membre.id],annuaire[[#This Row],[id]])</f>
        <v>0</v>
      </c>
      <c r="R9" s="9" t="str">
        <f>_xlfn.LET(_xlpm.der_pres,_xlfn.MINIFS(suivi[date],suivi[entree.categorie],cotisation,suivi[membre.id],annuaire[[#This Row],[id]]),
IF(_xlpm.der_pres=0,"",_xlpm.der_pres))</f>
        <v/>
      </c>
      <c r="S9" s="9" t="str">
        <f>_xlfn.LET(_xlpm.der_pres,_xlfn.MAXIFS(suivi[date],suivi[entree.categorie],cotisation,suivi[membre.id],annuaire[[#This Row],[id]]),
IF(_xlpm.der_pres=0,"",_xlpm.der_pres))</f>
        <v/>
      </c>
      <c r="T9" s="8">
        <f>COUNTIFS(suivi[entree.categorie],presence,suivi[membre.id],annuaire[[#This Row],[id]])</f>
        <v>0</v>
      </c>
      <c r="U9" s="9">
        <f>_xlfn.MAXIFS(suivi[date],suivi[membre.id],annuaire[[#This Row],[id]])</f>
        <v>0</v>
      </c>
      <c r="V9" s="8">
        <f>COUNTIFS(suivi[entree.categorie],presence,suivi[membre.id],annuaire[[#This Row],[id]],suivi['#support.saison_en_cours],1)</f>
        <v>0</v>
      </c>
      <c r="W9" s="8">
        <f>IF(COUNTIFS(suivi[entree.categorie],cotisation,suivi[membre.id],annuaire[[#This Row],[id]],suivi['#support.saison_en_cours],1)&gt;0,1,0)</f>
        <v>0</v>
      </c>
      <c r="X9" t="b">
        <f ca="1">IF(annuaire[[#This Row],[stats.cotis.derniere]]="",FALSE,
_xlfn.LET(
_xlpm.derniere_cotis_nb_mois,ROUNDDOWN((saison_debut-annuaire[[#This Row],[stats.cotis.derniere]])/30,1),
_xlpm.derniere_cotis_saison_precedente,AND(_xlpm.derniere_cotis_nb_mois&gt;0,_xlpm.derniere_cotis_nb_mois&lt;13),
_xlpm.nouvelle_saison_depuismoins2mois,(TODAY()-saison_debut)/30&lt;3,
AND(_xlpm.derniere_cotis_saison_precedente,_xlpm.nouvelle_saison_depuismoins2mois)
)
)</f>
        <v>0</v>
      </c>
      <c r="Y9" t="str" cm="1">
        <f t="array" ref="Y9">IFERROR(_xlfn.LET(_xlpm.filtre_table_suivi_saison_role,(suivi[membre.asso_role]&lt;&gt;"")*(suivi['#support.saison_en_cours]=1),
                                             _xlpm.nomination_saison_id,_xlfn._xlws.FILTER(suivi[membre.id],_xlpm.filtre_table_suivi_saison_role),
                                             _xlpm.nomination_saison_role,_xlfn._xlws.FILTER(suivi[membre.asso_role],_xlpm.filtre_table_suivi_saison_role),
                                             INDEX(_xlpm.nomination_saison_role,MATCH(annuaire[[#This Row],[id]],_xlpm.nomination_saison_id,0))),
                                         "")</f>
        <v/>
      </c>
      <c r="Z9" t="str">
        <f ca="1">IF(annuaire[[#This Row],[saison.asso_role_manuel]]&lt;&gt;"",annuaire[[#This Row],[saison.asso_role_manuel]],
IF(annuaire[[#This Row],[saison.cotis]]&gt;0,cotisant,
IF(annuaire[[#This Row],[saison.precedente]],cotisant_saison_prec,
"")))</f>
        <v/>
      </c>
      <c r="AA9" t="str" cm="1">
        <f t="array" ref="AA9">_xlfn.LET(_xlpm.champ,suivi[membre.prive.approbation_statuts],
_xlpm.liste_unique,IFERROR(_xlfn.UNIQUE(_xlfn._xlws.FILTER(_xlpm.champ,(suivi['#support.saison_en_cours]=1)*(_xlpm.champ&lt;&gt;"")*(suivi[membre.id]=annuaire[[#This Row],[id]]))),""),
INDEX(_xlpm.liste_unique,ROWS(_xlpm.liste_unique)))</f>
        <v/>
      </c>
      <c r="AB9" t="str" cm="1">
        <f t="array" ref="AB9">_xlfn.LET(_xlpm.champ,suivi[membre.prive.assurance_resp_civile],
_xlpm.liste_unique,IFERROR(_xlfn.UNIQUE(_xlfn._xlws.FILTER(_xlpm.champ,(suivi['#support.saison_en_cours]=1)*(_xlpm.champ&lt;&gt;"")*(suivi[membre.id]=annuaire[[#This Row],[id]]))),""),
INDEX(_xlpm.liste_unique,ROWS(_xlpm.liste_unique)))</f>
        <v/>
      </c>
      <c r="AC9" t="str" cm="1">
        <f t="array" ref="AC9">_xlfn.LET(_xlpm.champ,suivi[membre.prive.utilisation_image],
_xlpm.liste_unique,IFERROR(_xlfn.UNIQUE(_xlfn._xlws.FILTER(_xlpm.champ,(suivi['#support.saison_en_cours]=1)*(_xlpm.champ&lt;&gt;"")*(suivi[membre.id]=annuaire[[#This Row],[id]]))),""),
INDEX(_xlpm.liste_unique,ROWS(_xlpm.liste_unique)))</f>
        <v/>
      </c>
      <c r="AD9" t="str">
        <f ca="1">IF(OR(annuaire[[#This Row],[saison.cotis]]=1,annuaire[[#This Row],[stats.der_activite]]&gt;EDATE(TODAY(),-12)),1,"")</f>
        <v/>
      </c>
      <c r="AE9" s="7" t="str">
        <f>IF(annuaire[[#This Row],[saison.presence]]=0,"",IF(annuaire[[#This Row],[saison.cotis]]=1," ", annuaire[[#This Row],[saison.presence]]))</f>
        <v/>
      </c>
      <c r="AF9" t="str">
        <f>IF(annuaire[[#This Row],[pseudo_discord]]="","",MATCH(annuaire[[#This Row],[pseudo_discord]],#REF!,0))</f>
        <v/>
      </c>
    </row>
    <row r="10" spans="1:32" x14ac:dyDescent="0.25">
      <c r="A10" s="10">
        <v>9</v>
      </c>
      <c r="B10" s="1">
        <f>_xlfn.MINIFS(suivi[date],suivi[membre.id],annuaire[[#This Row],[id]])</f>
        <v>0</v>
      </c>
      <c r="C10" t="str" cm="1">
        <f t="array" ref="C10">_xlfn.LET(_xlpm.champ,suivi[membre.prive.nom],
_xlpm.liste_unique,IFERROR(_xlfn.UNIQUE(_xlfn._xlws.FILTER(_xlpm.champ,(_xlpm.champ&lt;&gt;"")*(suivi[membre.id]=annuaire[[#This Row],[id]]))),""),
INDEX(_xlpm.liste_unique,ROWS(_xlpm.liste_unique)))</f>
        <v/>
      </c>
      <c r="D10" t="str" cm="1">
        <f t="array" ref="D10">_xlfn.LET(_xlpm.champ,suivi[membre.prive.prenom],
_xlpm.liste_unique,IFERROR(_xlfn.UNIQUE(_xlfn._xlws.FILTER(_xlpm.champ,(_xlpm.champ&lt;&gt;"")*(suivi[membre.id]=annuaire[[#This Row],[id]]))),""),
INDEX(_xlpm.liste_unique,ROWS(_xlpm.liste_unique)))</f>
        <v/>
      </c>
      <c r="E10" s="1" t="str" cm="1">
        <f t="array" ref="E10">_xlfn.LET(_xlpm.champ,suivi[membre.prive.date_naissance],
_xlpm.liste_unique,IFERROR(_xlfn.UNIQUE(_xlfn._xlws.FILTER(_xlpm.champ,(_xlpm.champ&lt;&gt;"")*(suivi[membre.id]=annuaire[[#This Row],[id]]))),""),
INDEX(_xlpm.liste_unique,ROWS(_xlpm.liste_unique)))</f>
        <v/>
      </c>
      <c r="F10" s="3" t="str" cm="1">
        <f t="array" ref="F10">_xlfn.LET(_xlpm.champ,suivi[membre.prive.'[emails']],
_xlpm.liste_unique,IFERROR(_xlfn.UNIQUE(_xlfn._xlws.FILTER(_xlpm.champ,(_xlpm.champ&lt;&gt;"")*(suivi[membre.id]=annuaire[[#This Row],[id]]))),""),
INDEX(_xlpm.liste_unique,ROWS(_xlpm.liste_unique)))</f>
        <v/>
      </c>
      <c r="G10" t="str" cm="1">
        <f t="array" ref="G10">_xlfn.LET(_xlpm.champ,suivi[membre.prive.'[telephone']],
_xlpm.liste_unique,IFERROR(_xlfn.UNIQUE(_xlfn._xlws.FILTER(_xlpm.champ,(_xlpm.champ&lt;&gt;"")*(suivi[membre.id]=annuaire[[#This Row],[id]]))),""),
INDEX(_xlpm.liste_unique,ROWS(_xlpm.liste_unique)))</f>
        <v/>
      </c>
      <c r="H10" t="str" cm="1">
        <f t="array" ref="H10">_xlfn.LET(_xlpm.champ,suivi[membre.prive.adresse.numero],
_xlpm.liste_unique,IFERROR(_xlfn.UNIQUE(_xlfn._xlws.FILTER(_xlpm.champ,(_xlpm.champ&lt;&gt;"")*(suivi[membre.id]=annuaire[[#This Row],[id]]))),""),
INDEX(_xlpm.liste_unique,ROWS(_xlpm.liste_unique)))</f>
        <v/>
      </c>
      <c r="I10" s="2" t="str" cm="1">
        <f t="array" ref="I10">_xlfn.LET(_xlpm.champ,suivi[membre.prive.adresse.type_voie],
_xlpm.liste_unique,IFERROR(_xlfn.UNIQUE(_xlfn._xlws.FILTER(_xlpm.champ,(_xlpm.champ&lt;&gt;"")*(suivi[membre.id]=annuaire[[#This Row],[id]]))),""),
INDEX(_xlpm.liste_unique,ROWS(_xlpm.liste_unique)))</f>
        <v/>
      </c>
      <c r="J10" t="str" cm="1">
        <f t="array" ref="J10">_xlfn.LET(_xlpm.champ,suivi[membre.prive.adresse.nom_voie],
_xlpm.liste_unique,IFERROR(_xlfn.UNIQUE(_xlfn._xlws.FILTER(_xlpm.champ,(_xlpm.champ&lt;&gt;"")*(suivi[membre.id]=annuaire[[#This Row],[id]]))),""),
INDEX(_xlpm.liste_unique,ROWS(_xlpm.liste_unique)))</f>
        <v/>
      </c>
      <c r="K10" t="str" cm="1">
        <f t="array" ref="K10">_xlfn.LET(_xlpm.champ,suivi[membre.prive.adresse.autre],
_xlpm.liste_unique,IFERROR(_xlfn.UNIQUE(_xlfn._xlws.FILTER(_xlpm.champ,(_xlpm.champ&lt;&gt;"")*(suivi[membre.id]=annuaire[[#This Row],[id]]))),""),
INDEX(_xlpm.liste_unique,ROWS(_xlpm.liste_unique)))</f>
        <v/>
      </c>
      <c r="L10" t="str" cm="1">
        <f t="array" ref="L10">_xlfn.LET(_xlpm.champ,suivi[membre.prive.adresse.cp],
_xlpm.liste_unique,IFERROR(_xlfn.UNIQUE(_xlfn._xlws.FILTER(_xlpm.champ,(_xlpm.champ&lt;&gt;"")*(suivi[membre.id]=annuaire[[#This Row],[id]]))),""),
INDEX(_xlpm.liste_unique,ROWS(_xlpm.liste_unique)))</f>
        <v/>
      </c>
      <c r="M10" s="5" t="str" cm="1">
        <f t="array" ref="M10">_xlfn.LET(_xlpm.champ,suivi[membre.prive.adresse.ville],
_xlpm.liste_unique,IFERROR(_xlfn.UNIQUE(_xlfn._xlws.FILTER(_xlpm.champ,(_xlpm.champ&lt;&gt;"")*(suivi[membre.id]=annuaire[[#This Row],[id]]))),""),
INDEX(_xlpm.liste_unique,ROWS(_xlpm.liste_unique)))</f>
        <v/>
      </c>
      <c r="N10" t="str" cm="1">
        <f t="array" ref="N10">_xlfn.LET(_xlpm.champ,suivi[membre.prive.pseudo_discord],
_xlpm.liste_unique,IFERROR(_xlfn.UNIQUE(_xlfn._xlws.FILTER(_xlpm.champ,(_xlpm.champ&lt;&gt;"")*(suivi[membre.id]=annuaire[[#This Row],[id]]))),""),
INDEX(_xlpm.liste_unique,ROWS(_xlpm.liste_unique)))</f>
        <v/>
      </c>
      <c r="O10" t="str" cm="1">
        <f t="array" ref="O10">_xlfn.LET(_xlpm.champ,suivi[membre.source_connaissance],
_xlpm.liste_unique,IFERROR(_xlfn.UNIQUE(_xlfn._xlws.FILTER(_xlpm.champ,(_xlpm.champ&lt;&gt;"")*(suivi[membre.id]=annuaire[[#This Row],[id]]))),""),
INDEX(_xlpm.liste_unique,ROWS(_xlpm.liste_unique)))</f>
        <v/>
      </c>
      <c r="P10" t="str">
        <f>IF(annuaire[[#This Row],[nom]]&lt;&gt;"",PROPER(annuaire[[#This Row],[nom]])&amp;IF(annuaire[[#This Row],[prenom]]&lt;&gt;""," "&amp;PROPER(annuaire[[#This Row],[prenom]]),""),
IF(annuaire[[#This Row],[pseudo_discord]]&lt;&gt;"","[discord] "&amp;annuaire[[#This Row],[pseudo_discord]]&amp;IF(annuaire[[#This Row],[prenom]]&lt;&gt;""," ("&amp;PROPER(annuaire[[#This Row],[prenom]])&amp;")",""),
IF(annuaire[[#This Row],[emails]]&lt;&gt;"","[email] "&amp;annuaire[[#This Row],[emails]]&amp;IF(annuaire[[#This Row],[prenom]]&lt;&gt;""," ("&amp;PROPER(annuaire[[#This Row],[prenom]])&amp;")",""),
IF(annuaire[[#This Row],[prenom]]&lt;&gt;"",PROPER(annuaire[[#This Row],[prenom]]),"AJ-"&amp;TEXT(annuaire[[#This Row],[id]],"00000")))))</f>
        <v>AJ-00009</v>
      </c>
      <c r="Q10" s="8">
        <f>COUNTIFS(suivi[entree.categorie],cotisation,suivi[membre.id],annuaire[[#This Row],[id]])</f>
        <v>0</v>
      </c>
      <c r="R10" s="9" t="str">
        <f>_xlfn.LET(_xlpm.der_pres,_xlfn.MINIFS(suivi[date],suivi[entree.categorie],cotisation,suivi[membre.id],annuaire[[#This Row],[id]]),
IF(_xlpm.der_pres=0,"",_xlpm.der_pres))</f>
        <v/>
      </c>
      <c r="S10" s="9" t="str">
        <f>_xlfn.LET(_xlpm.der_pres,_xlfn.MAXIFS(suivi[date],suivi[entree.categorie],cotisation,suivi[membre.id],annuaire[[#This Row],[id]]),
IF(_xlpm.der_pres=0,"",_xlpm.der_pres))</f>
        <v/>
      </c>
      <c r="T10" s="8">
        <f>COUNTIFS(suivi[entree.categorie],presence,suivi[membre.id],annuaire[[#This Row],[id]])</f>
        <v>0</v>
      </c>
      <c r="U10" s="9">
        <f>_xlfn.MAXIFS(suivi[date],suivi[membre.id],annuaire[[#This Row],[id]])</f>
        <v>0</v>
      </c>
      <c r="V10" s="8">
        <f>COUNTIFS(suivi[entree.categorie],presence,suivi[membre.id],annuaire[[#This Row],[id]],suivi['#support.saison_en_cours],1)</f>
        <v>0</v>
      </c>
      <c r="W10" s="8">
        <f>IF(COUNTIFS(suivi[entree.categorie],cotisation,suivi[membre.id],annuaire[[#This Row],[id]],suivi['#support.saison_en_cours],1)&gt;0,1,0)</f>
        <v>0</v>
      </c>
      <c r="X10" t="b">
        <f ca="1">IF(annuaire[[#This Row],[stats.cotis.derniere]]="",FALSE,
_xlfn.LET(
_xlpm.derniere_cotis_nb_mois,ROUNDDOWN((saison_debut-annuaire[[#This Row],[stats.cotis.derniere]])/30,1),
_xlpm.derniere_cotis_saison_precedente,AND(_xlpm.derniere_cotis_nb_mois&gt;0,_xlpm.derniere_cotis_nb_mois&lt;13),
_xlpm.nouvelle_saison_depuismoins2mois,(TODAY()-saison_debut)/30&lt;3,
AND(_xlpm.derniere_cotis_saison_precedente,_xlpm.nouvelle_saison_depuismoins2mois)
)
)</f>
        <v>0</v>
      </c>
      <c r="Y10" t="str" cm="1">
        <f t="array" ref="Y10">IFERROR(_xlfn.LET(_xlpm.filtre_table_suivi_saison_role,(suivi[membre.asso_role]&lt;&gt;"")*(suivi['#support.saison_en_cours]=1),
                                             _xlpm.nomination_saison_id,_xlfn._xlws.FILTER(suivi[membre.id],_xlpm.filtre_table_suivi_saison_role),
                                             _xlpm.nomination_saison_role,_xlfn._xlws.FILTER(suivi[membre.asso_role],_xlpm.filtre_table_suivi_saison_role),
                                             INDEX(_xlpm.nomination_saison_role,MATCH(annuaire[[#This Row],[id]],_xlpm.nomination_saison_id,0))),
                                         "")</f>
        <v/>
      </c>
      <c r="Z10" t="str">
        <f ca="1">IF(annuaire[[#This Row],[saison.asso_role_manuel]]&lt;&gt;"",annuaire[[#This Row],[saison.asso_role_manuel]],
IF(annuaire[[#This Row],[saison.cotis]]&gt;0,cotisant,
IF(annuaire[[#This Row],[saison.precedente]],cotisant_saison_prec,
"")))</f>
        <v/>
      </c>
      <c r="AA10" t="str" cm="1">
        <f t="array" ref="AA10">_xlfn.LET(_xlpm.champ,suivi[membre.prive.approbation_statuts],
_xlpm.liste_unique,IFERROR(_xlfn.UNIQUE(_xlfn._xlws.FILTER(_xlpm.champ,(suivi['#support.saison_en_cours]=1)*(_xlpm.champ&lt;&gt;"")*(suivi[membre.id]=annuaire[[#This Row],[id]]))),""),
INDEX(_xlpm.liste_unique,ROWS(_xlpm.liste_unique)))</f>
        <v/>
      </c>
      <c r="AB10" t="str" cm="1">
        <f t="array" ref="AB10">_xlfn.LET(_xlpm.champ,suivi[membre.prive.assurance_resp_civile],
_xlpm.liste_unique,IFERROR(_xlfn.UNIQUE(_xlfn._xlws.FILTER(_xlpm.champ,(suivi['#support.saison_en_cours]=1)*(_xlpm.champ&lt;&gt;"")*(suivi[membre.id]=annuaire[[#This Row],[id]]))),""),
INDEX(_xlpm.liste_unique,ROWS(_xlpm.liste_unique)))</f>
        <v/>
      </c>
      <c r="AC10" t="str" cm="1">
        <f t="array" ref="AC10">_xlfn.LET(_xlpm.champ,suivi[membre.prive.utilisation_image],
_xlpm.liste_unique,IFERROR(_xlfn.UNIQUE(_xlfn._xlws.FILTER(_xlpm.champ,(suivi['#support.saison_en_cours]=1)*(_xlpm.champ&lt;&gt;"")*(suivi[membre.id]=annuaire[[#This Row],[id]]))),""),
INDEX(_xlpm.liste_unique,ROWS(_xlpm.liste_unique)))</f>
        <v/>
      </c>
      <c r="AD10" t="str">
        <f ca="1">IF(OR(annuaire[[#This Row],[saison.cotis]]=1,annuaire[[#This Row],[stats.der_activite]]&gt;EDATE(TODAY(),-12)),1,"")</f>
        <v/>
      </c>
      <c r="AE10" s="7" t="str">
        <f>IF(annuaire[[#This Row],[saison.presence]]=0,"",IF(annuaire[[#This Row],[saison.cotis]]=1," ", annuaire[[#This Row],[saison.presence]]))</f>
        <v/>
      </c>
      <c r="AF10" t="str">
        <f>IF(annuaire[[#This Row],[pseudo_discord]]="","",MATCH(annuaire[[#This Row],[pseudo_discord]],#REF!,0))</f>
        <v/>
      </c>
    </row>
    <row r="11" spans="1:32" x14ac:dyDescent="0.25">
      <c r="A11" s="10">
        <v>10</v>
      </c>
      <c r="B11" s="1">
        <f>_xlfn.MINIFS(suivi[date],suivi[membre.id],annuaire[[#This Row],[id]])</f>
        <v>0</v>
      </c>
      <c r="C11" t="str" cm="1">
        <f t="array" ref="C11">_xlfn.LET(_xlpm.champ,suivi[membre.prive.nom],
_xlpm.liste_unique,IFERROR(_xlfn.UNIQUE(_xlfn._xlws.FILTER(_xlpm.champ,(_xlpm.champ&lt;&gt;"")*(suivi[membre.id]=annuaire[[#This Row],[id]]))),""),
INDEX(_xlpm.liste_unique,ROWS(_xlpm.liste_unique)))</f>
        <v/>
      </c>
      <c r="D11" t="str" cm="1">
        <f t="array" ref="D11">_xlfn.LET(_xlpm.champ,suivi[membre.prive.prenom],
_xlpm.liste_unique,IFERROR(_xlfn.UNIQUE(_xlfn._xlws.FILTER(_xlpm.champ,(_xlpm.champ&lt;&gt;"")*(suivi[membre.id]=annuaire[[#This Row],[id]]))),""),
INDEX(_xlpm.liste_unique,ROWS(_xlpm.liste_unique)))</f>
        <v/>
      </c>
      <c r="E11" s="1" t="str" cm="1">
        <f t="array" ref="E11">_xlfn.LET(_xlpm.champ,suivi[membre.prive.date_naissance],
_xlpm.liste_unique,IFERROR(_xlfn.UNIQUE(_xlfn._xlws.FILTER(_xlpm.champ,(_xlpm.champ&lt;&gt;"")*(suivi[membre.id]=annuaire[[#This Row],[id]]))),""),
INDEX(_xlpm.liste_unique,ROWS(_xlpm.liste_unique)))</f>
        <v/>
      </c>
      <c r="F11" t="str" cm="1">
        <f t="array" ref="F11">_xlfn.LET(_xlpm.champ,suivi[membre.prive.'[emails']],
_xlpm.liste_unique,IFERROR(_xlfn.UNIQUE(_xlfn._xlws.FILTER(_xlpm.champ,(_xlpm.champ&lt;&gt;"")*(suivi[membre.id]=annuaire[[#This Row],[id]]))),""),
INDEX(_xlpm.liste_unique,ROWS(_xlpm.liste_unique)))</f>
        <v/>
      </c>
      <c r="G11" t="str" cm="1">
        <f t="array" ref="G11">_xlfn.LET(_xlpm.champ,suivi[membre.prive.'[telephone']],
_xlpm.liste_unique,IFERROR(_xlfn.UNIQUE(_xlfn._xlws.FILTER(_xlpm.champ,(_xlpm.champ&lt;&gt;"")*(suivi[membre.id]=annuaire[[#This Row],[id]]))),""),
INDEX(_xlpm.liste_unique,ROWS(_xlpm.liste_unique)))</f>
        <v/>
      </c>
      <c r="H11" t="str" cm="1">
        <f t="array" ref="H11">_xlfn.LET(_xlpm.champ,suivi[membre.prive.adresse.numero],
_xlpm.liste_unique,IFERROR(_xlfn.UNIQUE(_xlfn._xlws.FILTER(_xlpm.champ,(_xlpm.champ&lt;&gt;"")*(suivi[membre.id]=annuaire[[#This Row],[id]]))),""),
INDEX(_xlpm.liste_unique,ROWS(_xlpm.liste_unique)))</f>
        <v/>
      </c>
      <c r="I11" t="str" cm="1">
        <f t="array" ref="I11">_xlfn.LET(_xlpm.champ,suivi[membre.prive.adresse.type_voie],
_xlpm.liste_unique,IFERROR(_xlfn.UNIQUE(_xlfn._xlws.FILTER(_xlpm.champ,(_xlpm.champ&lt;&gt;"")*(suivi[membre.id]=annuaire[[#This Row],[id]]))),""),
INDEX(_xlpm.liste_unique,ROWS(_xlpm.liste_unique)))</f>
        <v/>
      </c>
      <c r="J11" t="str" cm="1">
        <f t="array" ref="J11">_xlfn.LET(_xlpm.champ,suivi[membre.prive.adresse.nom_voie],
_xlpm.liste_unique,IFERROR(_xlfn.UNIQUE(_xlfn._xlws.FILTER(_xlpm.champ,(_xlpm.champ&lt;&gt;"")*(suivi[membre.id]=annuaire[[#This Row],[id]]))),""),
INDEX(_xlpm.liste_unique,ROWS(_xlpm.liste_unique)))</f>
        <v/>
      </c>
      <c r="K11" t="str" cm="1">
        <f t="array" ref="K11">_xlfn.LET(_xlpm.champ,suivi[membre.prive.adresse.autre],
_xlpm.liste_unique,IFERROR(_xlfn.UNIQUE(_xlfn._xlws.FILTER(_xlpm.champ,(_xlpm.champ&lt;&gt;"")*(suivi[membre.id]=annuaire[[#This Row],[id]]))),""),
INDEX(_xlpm.liste_unique,ROWS(_xlpm.liste_unique)))</f>
        <v/>
      </c>
      <c r="L11" t="str" cm="1">
        <f t="array" ref="L11">_xlfn.LET(_xlpm.champ,suivi[membre.prive.adresse.cp],
_xlpm.liste_unique,IFERROR(_xlfn.UNIQUE(_xlfn._xlws.FILTER(_xlpm.champ,(_xlpm.champ&lt;&gt;"")*(suivi[membre.id]=annuaire[[#This Row],[id]]))),""),
INDEX(_xlpm.liste_unique,ROWS(_xlpm.liste_unique)))</f>
        <v/>
      </c>
      <c r="M11" s="5" t="str" cm="1">
        <f t="array" ref="M11">_xlfn.LET(_xlpm.champ,suivi[membre.prive.adresse.ville],
_xlpm.liste_unique,IFERROR(_xlfn.UNIQUE(_xlfn._xlws.FILTER(_xlpm.champ,(_xlpm.champ&lt;&gt;"")*(suivi[membre.id]=annuaire[[#This Row],[id]]))),""),
INDEX(_xlpm.liste_unique,ROWS(_xlpm.liste_unique)))</f>
        <v/>
      </c>
      <c r="N11" t="str" cm="1">
        <f t="array" ref="N11">_xlfn.LET(_xlpm.champ,suivi[membre.prive.pseudo_discord],
_xlpm.liste_unique,IFERROR(_xlfn.UNIQUE(_xlfn._xlws.FILTER(_xlpm.champ,(_xlpm.champ&lt;&gt;"")*(suivi[membre.id]=annuaire[[#This Row],[id]]))),""),
INDEX(_xlpm.liste_unique,ROWS(_xlpm.liste_unique)))</f>
        <v/>
      </c>
      <c r="O11" t="str" cm="1">
        <f t="array" ref="O11">_xlfn.LET(_xlpm.champ,suivi[membre.source_connaissance],
_xlpm.liste_unique,IFERROR(_xlfn.UNIQUE(_xlfn._xlws.FILTER(_xlpm.champ,(_xlpm.champ&lt;&gt;"")*(suivi[membre.id]=annuaire[[#This Row],[id]]))),""),
INDEX(_xlpm.liste_unique,ROWS(_xlpm.liste_unique)))</f>
        <v/>
      </c>
      <c r="P11" t="str">
        <f>IF(annuaire[[#This Row],[nom]]&lt;&gt;"",PROPER(annuaire[[#This Row],[nom]])&amp;IF(annuaire[[#This Row],[prenom]]&lt;&gt;""," "&amp;PROPER(annuaire[[#This Row],[prenom]]),""),
IF(annuaire[[#This Row],[pseudo_discord]]&lt;&gt;"","[discord] "&amp;annuaire[[#This Row],[pseudo_discord]]&amp;IF(annuaire[[#This Row],[prenom]]&lt;&gt;""," ("&amp;PROPER(annuaire[[#This Row],[prenom]])&amp;")",""),
IF(annuaire[[#This Row],[emails]]&lt;&gt;"","[email] "&amp;annuaire[[#This Row],[emails]]&amp;IF(annuaire[[#This Row],[prenom]]&lt;&gt;""," ("&amp;PROPER(annuaire[[#This Row],[prenom]])&amp;")",""),
IF(annuaire[[#This Row],[prenom]]&lt;&gt;"",PROPER(annuaire[[#This Row],[prenom]]),"AJ-"&amp;TEXT(annuaire[[#This Row],[id]],"00000")))))</f>
        <v>AJ-00010</v>
      </c>
      <c r="Q11" s="8">
        <f>COUNTIFS(suivi[entree.categorie],cotisation,suivi[membre.id],annuaire[[#This Row],[id]])</f>
        <v>0</v>
      </c>
      <c r="R11" s="9" t="str">
        <f>_xlfn.LET(_xlpm.der_pres,_xlfn.MINIFS(suivi[date],suivi[entree.categorie],cotisation,suivi[membre.id],annuaire[[#This Row],[id]]),
IF(_xlpm.der_pres=0,"",_xlpm.der_pres))</f>
        <v/>
      </c>
      <c r="S11" s="9" t="str">
        <f>_xlfn.LET(_xlpm.der_pres,_xlfn.MAXIFS(suivi[date],suivi[entree.categorie],cotisation,suivi[membre.id],annuaire[[#This Row],[id]]),
IF(_xlpm.der_pres=0,"",_xlpm.der_pres))</f>
        <v/>
      </c>
      <c r="T11" s="8">
        <f>COUNTIFS(suivi[entree.categorie],presence,suivi[membre.id],annuaire[[#This Row],[id]])</f>
        <v>0</v>
      </c>
      <c r="U11" s="9">
        <f>_xlfn.MAXIFS(suivi[date],suivi[membre.id],annuaire[[#This Row],[id]])</f>
        <v>0</v>
      </c>
      <c r="V11" s="8">
        <f>COUNTIFS(suivi[entree.categorie],presence,suivi[membre.id],annuaire[[#This Row],[id]],suivi['#support.saison_en_cours],1)</f>
        <v>0</v>
      </c>
      <c r="W11" s="8">
        <f>IF(COUNTIFS(suivi[entree.categorie],cotisation,suivi[membre.id],annuaire[[#This Row],[id]],suivi['#support.saison_en_cours],1)&gt;0,1,0)</f>
        <v>0</v>
      </c>
      <c r="X11" t="b">
        <f ca="1">IF(annuaire[[#This Row],[stats.cotis.derniere]]="",FALSE,
_xlfn.LET(
_xlpm.derniere_cotis_nb_mois,ROUNDDOWN((saison_debut-annuaire[[#This Row],[stats.cotis.derniere]])/30,1),
_xlpm.derniere_cotis_saison_precedente,AND(_xlpm.derniere_cotis_nb_mois&gt;0,_xlpm.derniere_cotis_nb_mois&lt;13),
_xlpm.nouvelle_saison_depuismoins2mois,(TODAY()-saison_debut)/30&lt;3,
AND(_xlpm.derniere_cotis_saison_precedente,_xlpm.nouvelle_saison_depuismoins2mois)
)
)</f>
        <v>0</v>
      </c>
      <c r="Y11" t="str" cm="1">
        <f t="array" ref="Y11">IFERROR(_xlfn.LET(_xlpm.filtre_table_suivi_saison_role,(suivi[membre.asso_role]&lt;&gt;"")*(suivi['#support.saison_en_cours]=1),
                                             _xlpm.nomination_saison_id,_xlfn._xlws.FILTER(suivi[membre.id],_xlpm.filtre_table_suivi_saison_role),
                                             _xlpm.nomination_saison_role,_xlfn._xlws.FILTER(suivi[membre.asso_role],_xlpm.filtre_table_suivi_saison_role),
                                             INDEX(_xlpm.nomination_saison_role,MATCH(annuaire[[#This Row],[id]],_xlpm.nomination_saison_id,0))),
                                         "")</f>
        <v/>
      </c>
      <c r="Z11" t="str">
        <f ca="1">IF(annuaire[[#This Row],[saison.asso_role_manuel]]&lt;&gt;"",annuaire[[#This Row],[saison.asso_role_manuel]],
IF(annuaire[[#This Row],[saison.cotis]]&gt;0,cotisant,
IF(annuaire[[#This Row],[saison.precedente]],cotisant_saison_prec,
"")))</f>
        <v/>
      </c>
      <c r="AA11" t="str" cm="1">
        <f t="array" ref="AA11">_xlfn.LET(_xlpm.champ,suivi[membre.prive.approbation_statuts],
_xlpm.liste_unique,IFERROR(_xlfn.UNIQUE(_xlfn._xlws.FILTER(_xlpm.champ,(suivi['#support.saison_en_cours]=1)*(_xlpm.champ&lt;&gt;"")*(suivi[membre.id]=annuaire[[#This Row],[id]]))),""),
INDEX(_xlpm.liste_unique,ROWS(_xlpm.liste_unique)))</f>
        <v/>
      </c>
      <c r="AB11" t="str" cm="1">
        <f t="array" ref="AB11">_xlfn.LET(_xlpm.champ,suivi[membre.prive.assurance_resp_civile],
_xlpm.liste_unique,IFERROR(_xlfn.UNIQUE(_xlfn._xlws.FILTER(_xlpm.champ,(suivi['#support.saison_en_cours]=1)*(_xlpm.champ&lt;&gt;"")*(suivi[membre.id]=annuaire[[#This Row],[id]]))),""),
INDEX(_xlpm.liste_unique,ROWS(_xlpm.liste_unique)))</f>
        <v/>
      </c>
      <c r="AC11" t="str" cm="1">
        <f t="array" ref="AC11">_xlfn.LET(_xlpm.champ,suivi[membre.prive.utilisation_image],
_xlpm.liste_unique,IFERROR(_xlfn.UNIQUE(_xlfn._xlws.FILTER(_xlpm.champ,(suivi['#support.saison_en_cours]=1)*(_xlpm.champ&lt;&gt;"")*(suivi[membre.id]=annuaire[[#This Row],[id]]))),""),
INDEX(_xlpm.liste_unique,ROWS(_xlpm.liste_unique)))</f>
        <v/>
      </c>
      <c r="AD11" t="str">
        <f ca="1">IF(OR(annuaire[[#This Row],[saison.cotis]]=1,annuaire[[#This Row],[stats.der_activite]]&gt;EDATE(TODAY(),-12)),1,"")</f>
        <v/>
      </c>
      <c r="AE11" s="7" t="str">
        <f>IF(annuaire[[#This Row],[saison.presence]]=0,"",IF(annuaire[[#This Row],[saison.cotis]]=1," ", annuaire[[#This Row],[saison.presence]]))</f>
        <v/>
      </c>
      <c r="AF11" t="str">
        <f>IF(annuaire[[#This Row],[pseudo_discord]]="","",MATCH(annuaire[[#This Row],[pseudo_discord]],#REF!,0))</f>
        <v/>
      </c>
    </row>
    <row r="12" spans="1:32" x14ac:dyDescent="0.25">
      <c r="A12" s="10">
        <v>11</v>
      </c>
      <c r="B12" s="1">
        <f>_xlfn.MINIFS(suivi[date],suivi[membre.id],annuaire[[#This Row],[id]])</f>
        <v>0</v>
      </c>
      <c r="C12" t="str" cm="1">
        <f t="array" ref="C12">_xlfn.LET(_xlpm.champ,suivi[membre.prive.nom],
_xlpm.liste_unique,IFERROR(_xlfn.UNIQUE(_xlfn._xlws.FILTER(_xlpm.champ,(_xlpm.champ&lt;&gt;"")*(suivi[membre.id]=annuaire[[#This Row],[id]]))),""),
INDEX(_xlpm.liste_unique,ROWS(_xlpm.liste_unique)))</f>
        <v/>
      </c>
      <c r="D12" t="str" cm="1">
        <f t="array" ref="D12">_xlfn.LET(_xlpm.champ,suivi[membre.prive.prenom],
_xlpm.liste_unique,IFERROR(_xlfn.UNIQUE(_xlfn._xlws.FILTER(_xlpm.champ,(_xlpm.champ&lt;&gt;"")*(suivi[membre.id]=annuaire[[#This Row],[id]]))),""),
INDEX(_xlpm.liste_unique,ROWS(_xlpm.liste_unique)))</f>
        <v/>
      </c>
      <c r="E12" s="1" t="str" cm="1">
        <f t="array" ref="E12">_xlfn.LET(_xlpm.champ,suivi[membre.prive.date_naissance],
_xlpm.liste_unique,IFERROR(_xlfn.UNIQUE(_xlfn._xlws.FILTER(_xlpm.champ,(_xlpm.champ&lt;&gt;"")*(suivi[membre.id]=annuaire[[#This Row],[id]]))),""),
INDEX(_xlpm.liste_unique,ROWS(_xlpm.liste_unique)))</f>
        <v/>
      </c>
      <c r="F12" s="3" t="str" cm="1">
        <f t="array" ref="F12">_xlfn.LET(_xlpm.champ,suivi[membre.prive.'[emails']],
_xlpm.liste_unique,IFERROR(_xlfn.UNIQUE(_xlfn._xlws.FILTER(_xlpm.champ,(_xlpm.champ&lt;&gt;"")*(suivi[membre.id]=annuaire[[#This Row],[id]]))),""),
INDEX(_xlpm.liste_unique,ROWS(_xlpm.liste_unique)))</f>
        <v/>
      </c>
      <c r="G12" t="str" cm="1">
        <f t="array" ref="G12">_xlfn.LET(_xlpm.champ,suivi[membre.prive.'[telephone']],
_xlpm.liste_unique,IFERROR(_xlfn.UNIQUE(_xlfn._xlws.FILTER(_xlpm.champ,(_xlpm.champ&lt;&gt;"")*(suivi[membre.id]=annuaire[[#This Row],[id]]))),""),
INDEX(_xlpm.liste_unique,ROWS(_xlpm.liste_unique)))</f>
        <v/>
      </c>
      <c r="H12" t="str" cm="1">
        <f t="array" ref="H12">_xlfn.LET(_xlpm.champ,suivi[membre.prive.adresse.numero],
_xlpm.liste_unique,IFERROR(_xlfn.UNIQUE(_xlfn._xlws.FILTER(_xlpm.champ,(_xlpm.champ&lt;&gt;"")*(suivi[membre.id]=annuaire[[#This Row],[id]]))),""),
INDEX(_xlpm.liste_unique,ROWS(_xlpm.liste_unique)))</f>
        <v/>
      </c>
      <c r="I12" t="str" cm="1">
        <f t="array" ref="I12">_xlfn.LET(_xlpm.champ,suivi[membre.prive.adresse.type_voie],
_xlpm.liste_unique,IFERROR(_xlfn.UNIQUE(_xlfn._xlws.FILTER(_xlpm.champ,(_xlpm.champ&lt;&gt;"")*(suivi[membre.id]=annuaire[[#This Row],[id]]))),""),
INDEX(_xlpm.liste_unique,ROWS(_xlpm.liste_unique)))</f>
        <v/>
      </c>
      <c r="J12" t="str" cm="1">
        <f t="array" ref="J12">_xlfn.LET(_xlpm.champ,suivi[membre.prive.adresse.nom_voie],
_xlpm.liste_unique,IFERROR(_xlfn.UNIQUE(_xlfn._xlws.FILTER(_xlpm.champ,(_xlpm.champ&lt;&gt;"")*(suivi[membre.id]=annuaire[[#This Row],[id]]))),""),
INDEX(_xlpm.liste_unique,ROWS(_xlpm.liste_unique)))</f>
        <v/>
      </c>
      <c r="K12" t="str" cm="1">
        <f t="array" ref="K12">_xlfn.LET(_xlpm.champ,suivi[membre.prive.adresse.autre],
_xlpm.liste_unique,IFERROR(_xlfn.UNIQUE(_xlfn._xlws.FILTER(_xlpm.champ,(_xlpm.champ&lt;&gt;"")*(suivi[membre.id]=annuaire[[#This Row],[id]]))),""),
INDEX(_xlpm.liste_unique,ROWS(_xlpm.liste_unique)))</f>
        <v/>
      </c>
      <c r="L12" t="str" cm="1">
        <f t="array" ref="L12">_xlfn.LET(_xlpm.champ,suivi[membre.prive.adresse.cp],
_xlpm.liste_unique,IFERROR(_xlfn.UNIQUE(_xlfn._xlws.FILTER(_xlpm.champ,(_xlpm.champ&lt;&gt;"")*(suivi[membre.id]=annuaire[[#This Row],[id]]))),""),
INDEX(_xlpm.liste_unique,ROWS(_xlpm.liste_unique)))</f>
        <v/>
      </c>
      <c r="M12" s="5" t="str" cm="1">
        <f t="array" ref="M12">_xlfn.LET(_xlpm.champ,suivi[membre.prive.adresse.ville],
_xlpm.liste_unique,IFERROR(_xlfn.UNIQUE(_xlfn._xlws.FILTER(_xlpm.champ,(_xlpm.champ&lt;&gt;"")*(suivi[membre.id]=annuaire[[#This Row],[id]]))),""),
INDEX(_xlpm.liste_unique,ROWS(_xlpm.liste_unique)))</f>
        <v/>
      </c>
      <c r="N12" t="str" cm="1">
        <f t="array" ref="N12">_xlfn.LET(_xlpm.champ,suivi[membre.prive.pseudo_discord],
_xlpm.liste_unique,IFERROR(_xlfn.UNIQUE(_xlfn._xlws.FILTER(_xlpm.champ,(_xlpm.champ&lt;&gt;"")*(suivi[membre.id]=annuaire[[#This Row],[id]]))),""),
INDEX(_xlpm.liste_unique,ROWS(_xlpm.liste_unique)))</f>
        <v/>
      </c>
      <c r="O12" t="str" cm="1">
        <f t="array" ref="O12">_xlfn.LET(_xlpm.champ,suivi[membre.source_connaissance],
_xlpm.liste_unique,IFERROR(_xlfn.UNIQUE(_xlfn._xlws.FILTER(_xlpm.champ,(_xlpm.champ&lt;&gt;"")*(suivi[membre.id]=annuaire[[#This Row],[id]]))),""),
INDEX(_xlpm.liste_unique,ROWS(_xlpm.liste_unique)))</f>
        <v/>
      </c>
      <c r="P12" t="str">
        <f>IF(annuaire[[#This Row],[nom]]&lt;&gt;"",PROPER(annuaire[[#This Row],[nom]])&amp;IF(annuaire[[#This Row],[prenom]]&lt;&gt;""," "&amp;PROPER(annuaire[[#This Row],[prenom]]),""),
IF(annuaire[[#This Row],[pseudo_discord]]&lt;&gt;"","[discord] "&amp;annuaire[[#This Row],[pseudo_discord]]&amp;IF(annuaire[[#This Row],[prenom]]&lt;&gt;""," ("&amp;PROPER(annuaire[[#This Row],[prenom]])&amp;")",""),
IF(annuaire[[#This Row],[emails]]&lt;&gt;"","[email] "&amp;annuaire[[#This Row],[emails]]&amp;IF(annuaire[[#This Row],[prenom]]&lt;&gt;""," ("&amp;PROPER(annuaire[[#This Row],[prenom]])&amp;")",""),
IF(annuaire[[#This Row],[prenom]]&lt;&gt;"",PROPER(annuaire[[#This Row],[prenom]]),"AJ-"&amp;TEXT(annuaire[[#This Row],[id]],"00000")))))</f>
        <v>AJ-00011</v>
      </c>
      <c r="Q12" s="8">
        <f>COUNTIFS(suivi[entree.categorie],cotisation,suivi[membre.id],annuaire[[#This Row],[id]])</f>
        <v>0</v>
      </c>
      <c r="R12" s="9" t="str">
        <f>_xlfn.LET(_xlpm.der_pres,_xlfn.MINIFS(suivi[date],suivi[entree.categorie],cotisation,suivi[membre.id],annuaire[[#This Row],[id]]),
IF(_xlpm.der_pres=0,"",_xlpm.der_pres))</f>
        <v/>
      </c>
      <c r="S12" s="9" t="str">
        <f>_xlfn.LET(_xlpm.der_pres,_xlfn.MAXIFS(suivi[date],suivi[entree.categorie],cotisation,suivi[membre.id],annuaire[[#This Row],[id]]),
IF(_xlpm.der_pres=0,"",_xlpm.der_pres))</f>
        <v/>
      </c>
      <c r="T12" s="8">
        <f>COUNTIFS(suivi[entree.categorie],presence,suivi[membre.id],annuaire[[#This Row],[id]])</f>
        <v>0</v>
      </c>
      <c r="U12" s="9">
        <f>_xlfn.MAXIFS(suivi[date],suivi[membre.id],annuaire[[#This Row],[id]])</f>
        <v>0</v>
      </c>
      <c r="V12" s="8">
        <f>COUNTIFS(suivi[entree.categorie],presence,suivi[membre.id],annuaire[[#This Row],[id]],suivi['#support.saison_en_cours],1)</f>
        <v>0</v>
      </c>
      <c r="W12" s="8">
        <f>IF(COUNTIFS(suivi[entree.categorie],cotisation,suivi[membre.id],annuaire[[#This Row],[id]],suivi['#support.saison_en_cours],1)&gt;0,1,0)</f>
        <v>0</v>
      </c>
      <c r="X12" t="b">
        <f ca="1">IF(annuaire[[#This Row],[stats.cotis.derniere]]="",FALSE,
_xlfn.LET(
_xlpm.derniere_cotis_nb_mois,ROUNDDOWN((saison_debut-annuaire[[#This Row],[stats.cotis.derniere]])/30,1),
_xlpm.derniere_cotis_saison_precedente,AND(_xlpm.derniere_cotis_nb_mois&gt;0,_xlpm.derniere_cotis_nb_mois&lt;13),
_xlpm.nouvelle_saison_depuismoins2mois,(TODAY()-saison_debut)/30&lt;3,
AND(_xlpm.derniere_cotis_saison_precedente,_xlpm.nouvelle_saison_depuismoins2mois)
)
)</f>
        <v>0</v>
      </c>
      <c r="Y12" t="str" cm="1">
        <f t="array" ref="Y12">IFERROR(_xlfn.LET(_xlpm.filtre_table_suivi_saison_role,(suivi[membre.asso_role]&lt;&gt;"")*(suivi['#support.saison_en_cours]=1),
                                             _xlpm.nomination_saison_id,_xlfn._xlws.FILTER(suivi[membre.id],_xlpm.filtre_table_suivi_saison_role),
                                             _xlpm.nomination_saison_role,_xlfn._xlws.FILTER(suivi[membre.asso_role],_xlpm.filtre_table_suivi_saison_role),
                                             INDEX(_xlpm.nomination_saison_role,MATCH(annuaire[[#This Row],[id]],_xlpm.nomination_saison_id,0))),
                                         "")</f>
        <v/>
      </c>
      <c r="Z12" t="str">
        <f ca="1">IF(annuaire[[#This Row],[saison.asso_role_manuel]]&lt;&gt;"",annuaire[[#This Row],[saison.asso_role_manuel]],
IF(annuaire[[#This Row],[saison.cotis]]&gt;0,cotisant,
IF(annuaire[[#This Row],[saison.precedente]],cotisant_saison_prec,
"")))</f>
        <v/>
      </c>
      <c r="AA12" t="str" cm="1">
        <f t="array" ref="AA12">_xlfn.LET(_xlpm.champ,suivi[membre.prive.approbation_statuts],
_xlpm.liste_unique,IFERROR(_xlfn.UNIQUE(_xlfn._xlws.FILTER(_xlpm.champ,(suivi['#support.saison_en_cours]=1)*(_xlpm.champ&lt;&gt;"")*(suivi[membre.id]=annuaire[[#This Row],[id]]))),""),
INDEX(_xlpm.liste_unique,ROWS(_xlpm.liste_unique)))</f>
        <v/>
      </c>
      <c r="AB12" t="str" cm="1">
        <f t="array" ref="AB12">_xlfn.LET(_xlpm.champ,suivi[membre.prive.assurance_resp_civile],
_xlpm.liste_unique,IFERROR(_xlfn.UNIQUE(_xlfn._xlws.FILTER(_xlpm.champ,(suivi['#support.saison_en_cours]=1)*(_xlpm.champ&lt;&gt;"")*(suivi[membre.id]=annuaire[[#This Row],[id]]))),""),
INDEX(_xlpm.liste_unique,ROWS(_xlpm.liste_unique)))</f>
        <v/>
      </c>
      <c r="AC12" t="str" cm="1">
        <f t="array" ref="AC12">_xlfn.LET(_xlpm.champ,suivi[membre.prive.utilisation_image],
_xlpm.liste_unique,IFERROR(_xlfn.UNIQUE(_xlfn._xlws.FILTER(_xlpm.champ,(suivi['#support.saison_en_cours]=1)*(_xlpm.champ&lt;&gt;"")*(suivi[membre.id]=annuaire[[#This Row],[id]]))),""),
INDEX(_xlpm.liste_unique,ROWS(_xlpm.liste_unique)))</f>
        <v/>
      </c>
      <c r="AD12" t="str">
        <f ca="1">IF(OR(annuaire[[#This Row],[saison.cotis]]=1,annuaire[[#This Row],[stats.der_activite]]&gt;EDATE(TODAY(),-12)),1,"")</f>
        <v/>
      </c>
      <c r="AE12" s="7" t="str">
        <f>IF(annuaire[[#This Row],[saison.presence]]=0,"",IF(annuaire[[#This Row],[saison.cotis]]=1," ", annuaire[[#This Row],[saison.presence]]))</f>
        <v/>
      </c>
      <c r="AF12" t="str">
        <f>IF(annuaire[[#This Row],[pseudo_discord]]="","",MATCH(annuaire[[#This Row],[pseudo_discord]],#REF!,0))</f>
        <v/>
      </c>
    </row>
    <row r="13" spans="1:32" x14ac:dyDescent="0.25">
      <c r="A13" s="10">
        <v>12</v>
      </c>
      <c r="B13" s="1">
        <f>_xlfn.MINIFS(suivi[date],suivi[membre.id],annuaire[[#This Row],[id]])</f>
        <v>0</v>
      </c>
      <c r="C13" t="str" cm="1">
        <f t="array" ref="C13">_xlfn.LET(_xlpm.champ,suivi[membre.prive.nom],
_xlpm.liste_unique,IFERROR(_xlfn.UNIQUE(_xlfn._xlws.FILTER(_xlpm.champ,(_xlpm.champ&lt;&gt;"")*(suivi[membre.id]=annuaire[[#This Row],[id]]))),""),
INDEX(_xlpm.liste_unique,ROWS(_xlpm.liste_unique)))</f>
        <v/>
      </c>
      <c r="D13" t="str" cm="1">
        <f t="array" ref="D13">_xlfn.LET(_xlpm.champ,suivi[membre.prive.prenom],
_xlpm.liste_unique,IFERROR(_xlfn.UNIQUE(_xlfn._xlws.FILTER(_xlpm.champ,(_xlpm.champ&lt;&gt;"")*(suivi[membre.id]=annuaire[[#This Row],[id]]))),""),
INDEX(_xlpm.liste_unique,ROWS(_xlpm.liste_unique)))</f>
        <v/>
      </c>
      <c r="E13" s="1" t="str" cm="1">
        <f t="array" ref="E13">_xlfn.LET(_xlpm.champ,suivi[membre.prive.date_naissance],
_xlpm.liste_unique,IFERROR(_xlfn.UNIQUE(_xlfn._xlws.FILTER(_xlpm.champ,(_xlpm.champ&lt;&gt;"")*(suivi[membre.id]=annuaire[[#This Row],[id]]))),""),
INDEX(_xlpm.liste_unique,ROWS(_xlpm.liste_unique)))</f>
        <v/>
      </c>
      <c r="F13" t="str" cm="1">
        <f t="array" ref="F13">_xlfn.LET(_xlpm.champ,suivi[membre.prive.'[emails']],
_xlpm.liste_unique,IFERROR(_xlfn.UNIQUE(_xlfn._xlws.FILTER(_xlpm.champ,(_xlpm.champ&lt;&gt;"")*(suivi[membre.id]=annuaire[[#This Row],[id]]))),""),
INDEX(_xlpm.liste_unique,ROWS(_xlpm.liste_unique)))</f>
        <v/>
      </c>
      <c r="G13" t="str" cm="1">
        <f t="array" ref="G13">_xlfn.LET(_xlpm.champ,suivi[membre.prive.'[telephone']],
_xlpm.liste_unique,IFERROR(_xlfn.UNIQUE(_xlfn._xlws.FILTER(_xlpm.champ,(_xlpm.champ&lt;&gt;"")*(suivi[membre.id]=annuaire[[#This Row],[id]]))),""),
INDEX(_xlpm.liste_unique,ROWS(_xlpm.liste_unique)))</f>
        <v/>
      </c>
      <c r="H13" t="str" cm="1">
        <f t="array" ref="H13">_xlfn.LET(_xlpm.champ,suivi[membre.prive.adresse.numero],
_xlpm.liste_unique,IFERROR(_xlfn.UNIQUE(_xlfn._xlws.FILTER(_xlpm.champ,(_xlpm.champ&lt;&gt;"")*(suivi[membre.id]=annuaire[[#This Row],[id]]))),""),
INDEX(_xlpm.liste_unique,ROWS(_xlpm.liste_unique)))</f>
        <v/>
      </c>
      <c r="I13" s="2" t="str" cm="1">
        <f t="array" ref="I13">_xlfn.LET(_xlpm.champ,suivi[membre.prive.adresse.type_voie],
_xlpm.liste_unique,IFERROR(_xlfn.UNIQUE(_xlfn._xlws.FILTER(_xlpm.champ,(_xlpm.champ&lt;&gt;"")*(suivi[membre.id]=annuaire[[#This Row],[id]]))),""),
INDEX(_xlpm.liste_unique,ROWS(_xlpm.liste_unique)))</f>
        <v/>
      </c>
      <c r="J13" t="str" cm="1">
        <f t="array" ref="J13">_xlfn.LET(_xlpm.champ,suivi[membre.prive.adresse.nom_voie],
_xlpm.liste_unique,IFERROR(_xlfn.UNIQUE(_xlfn._xlws.FILTER(_xlpm.champ,(_xlpm.champ&lt;&gt;"")*(suivi[membre.id]=annuaire[[#This Row],[id]]))),""),
INDEX(_xlpm.liste_unique,ROWS(_xlpm.liste_unique)))</f>
        <v/>
      </c>
      <c r="K13" t="str" cm="1">
        <f t="array" ref="K13">_xlfn.LET(_xlpm.champ,suivi[membre.prive.adresse.autre],
_xlpm.liste_unique,IFERROR(_xlfn.UNIQUE(_xlfn._xlws.FILTER(_xlpm.champ,(_xlpm.champ&lt;&gt;"")*(suivi[membre.id]=annuaire[[#This Row],[id]]))),""),
INDEX(_xlpm.liste_unique,ROWS(_xlpm.liste_unique)))</f>
        <v/>
      </c>
      <c r="L13" t="str" cm="1">
        <f t="array" ref="L13">_xlfn.LET(_xlpm.champ,suivi[membre.prive.adresse.cp],
_xlpm.liste_unique,IFERROR(_xlfn.UNIQUE(_xlfn._xlws.FILTER(_xlpm.champ,(_xlpm.champ&lt;&gt;"")*(suivi[membre.id]=annuaire[[#This Row],[id]]))),""),
INDEX(_xlpm.liste_unique,ROWS(_xlpm.liste_unique)))</f>
        <v/>
      </c>
      <c r="M13" s="5" t="str" cm="1">
        <f t="array" ref="M13">_xlfn.LET(_xlpm.champ,suivi[membre.prive.adresse.ville],
_xlpm.liste_unique,IFERROR(_xlfn.UNIQUE(_xlfn._xlws.FILTER(_xlpm.champ,(_xlpm.champ&lt;&gt;"")*(suivi[membre.id]=annuaire[[#This Row],[id]]))),""),
INDEX(_xlpm.liste_unique,ROWS(_xlpm.liste_unique)))</f>
        <v/>
      </c>
      <c r="N13" t="str" cm="1">
        <f t="array" ref="N13">_xlfn.LET(_xlpm.champ,suivi[membre.prive.pseudo_discord],
_xlpm.liste_unique,IFERROR(_xlfn.UNIQUE(_xlfn._xlws.FILTER(_xlpm.champ,(_xlpm.champ&lt;&gt;"")*(suivi[membre.id]=annuaire[[#This Row],[id]]))),""),
INDEX(_xlpm.liste_unique,ROWS(_xlpm.liste_unique)))</f>
        <v/>
      </c>
      <c r="O13" t="str" cm="1">
        <f t="array" ref="O13">_xlfn.LET(_xlpm.champ,suivi[membre.source_connaissance],
_xlpm.liste_unique,IFERROR(_xlfn.UNIQUE(_xlfn._xlws.FILTER(_xlpm.champ,(_xlpm.champ&lt;&gt;"")*(suivi[membre.id]=annuaire[[#This Row],[id]]))),""),
INDEX(_xlpm.liste_unique,ROWS(_xlpm.liste_unique)))</f>
        <v/>
      </c>
      <c r="P13" t="str">
        <f>IF(annuaire[[#This Row],[nom]]&lt;&gt;"",PROPER(annuaire[[#This Row],[nom]])&amp;IF(annuaire[[#This Row],[prenom]]&lt;&gt;""," "&amp;PROPER(annuaire[[#This Row],[prenom]]),""),
IF(annuaire[[#This Row],[pseudo_discord]]&lt;&gt;"","[discord] "&amp;annuaire[[#This Row],[pseudo_discord]]&amp;IF(annuaire[[#This Row],[prenom]]&lt;&gt;""," ("&amp;PROPER(annuaire[[#This Row],[prenom]])&amp;")",""),
IF(annuaire[[#This Row],[emails]]&lt;&gt;"","[email] "&amp;annuaire[[#This Row],[emails]]&amp;IF(annuaire[[#This Row],[prenom]]&lt;&gt;""," ("&amp;PROPER(annuaire[[#This Row],[prenom]])&amp;")",""),
IF(annuaire[[#This Row],[prenom]]&lt;&gt;"",PROPER(annuaire[[#This Row],[prenom]]),"AJ-"&amp;TEXT(annuaire[[#This Row],[id]],"00000")))))</f>
        <v>AJ-00012</v>
      </c>
      <c r="Q13" s="8">
        <f>COUNTIFS(suivi[entree.categorie],cotisation,suivi[membre.id],annuaire[[#This Row],[id]])</f>
        <v>0</v>
      </c>
      <c r="R13" s="9" t="str">
        <f>_xlfn.LET(_xlpm.der_pres,_xlfn.MINIFS(suivi[date],suivi[entree.categorie],cotisation,suivi[membre.id],annuaire[[#This Row],[id]]),
IF(_xlpm.der_pres=0,"",_xlpm.der_pres))</f>
        <v/>
      </c>
      <c r="S13" s="9" t="str">
        <f>_xlfn.LET(_xlpm.der_pres,_xlfn.MAXIFS(suivi[date],suivi[entree.categorie],cotisation,suivi[membre.id],annuaire[[#This Row],[id]]),
IF(_xlpm.der_pres=0,"",_xlpm.der_pres))</f>
        <v/>
      </c>
      <c r="T13" s="8">
        <f>COUNTIFS(suivi[entree.categorie],presence,suivi[membre.id],annuaire[[#This Row],[id]])</f>
        <v>0</v>
      </c>
      <c r="U13" s="9">
        <f>_xlfn.MAXIFS(suivi[date],suivi[membre.id],annuaire[[#This Row],[id]])</f>
        <v>0</v>
      </c>
      <c r="V13" s="8">
        <f>COUNTIFS(suivi[entree.categorie],presence,suivi[membre.id],annuaire[[#This Row],[id]],suivi['#support.saison_en_cours],1)</f>
        <v>0</v>
      </c>
      <c r="W13" s="8">
        <f>IF(COUNTIFS(suivi[entree.categorie],cotisation,suivi[membre.id],annuaire[[#This Row],[id]],suivi['#support.saison_en_cours],1)&gt;0,1,0)</f>
        <v>0</v>
      </c>
      <c r="X13" t="b">
        <f ca="1">IF(annuaire[[#This Row],[stats.cotis.derniere]]="",FALSE,
_xlfn.LET(
_xlpm.derniere_cotis_nb_mois,ROUNDDOWN((saison_debut-annuaire[[#This Row],[stats.cotis.derniere]])/30,1),
_xlpm.derniere_cotis_saison_precedente,AND(_xlpm.derniere_cotis_nb_mois&gt;0,_xlpm.derniere_cotis_nb_mois&lt;13),
_xlpm.nouvelle_saison_depuismoins2mois,(TODAY()-saison_debut)/30&lt;3,
AND(_xlpm.derniere_cotis_saison_precedente,_xlpm.nouvelle_saison_depuismoins2mois)
)
)</f>
        <v>0</v>
      </c>
      <c r="Y13" t="str" cm="1">
        <f t="array" ref="Y13">IFERROR(_xlfn.LET(_xlpm.filtre_table_suivi_saison_role,(suivi[membre.asso_role]&lt;&gt;"")*(suivi['#support.saison_en_cours]=1),
                                             _xlpm.nomination_saison_id,_xlfn._xlws.FILTER(suivi[membre.id],_xlpm.filtre_table_suivi_saison_role),
                                             _xlpm.nomination_saison_role,_xlfn._xlws.FILTER(suivi[membre.asso_role],_xlpm.filtre_table_suivi_saison_role),
                                             INDEX(_xlpm.nomination_saison_role,MATCH(annuaire[[#This Row],[id]],_xlpm.nomination_saison_id,0))),
                                         "")</f>
        <v/>
      </c>
      <c r="Z13" t="str">
        <f ca="1">IF(annuaire[[#This Row],[saison.asso_role_manuel]]&lt;&gt;"",annuaire[[#This Row],[saison.asso_role_manuel]],
IF(annuaire[[#This Row],[saison.cotis]]&gt;0,cotisant,
IF(annuaire[[#This Row],[saison.precedente]],cotisant_saison_prec,
"")))</f>
        <v/>
      </c>
      <c r="AA13" t="str" cm="1">
        <f t="array" ref="AA13">_xlfn.LET(_xlpm.champ,suivi[membre.prive.approbation_statuts],
_xlpm.liste_unique,IFERROR(_xlfn.UNIQUE(_xlfn._xlws.FILTER(_xlpm.champ,(suivi['#support.saison_en_cours]=1)*(_xlpm.champ&lt;&gt;"")*(suivi[membre.id]=annuaire[[#This Row],[id]]))),""),
INDEX(_xlpm.liste_unique,ROWS(_xlpm.liste_unique)))</f>
        <v/>
      </c>
      <c r="AB13" t="str" cm="1">
        <f t="array" ref="AB13">_xlfn.LET(_xlpm.champ,suivi[membre.prive.assurance_resp_civile],
_xlpm.liste_unique,IFERROR(_xlfn.UNIQUE(_xlfn._xlws.FILTER(_xlpm.champ,(suivi['#support.saison_en_cours]=1)*(_xlpm.champ&lt;&gt;"")*(suivi[membre.id]=annuaire[[#This Row],[id]]))),""),
INDEX(_xlpm.liste_unique,ROWS(_xlpm.liste_unique)))</f>
        <v/>
      </c>
      <c r="AC13" t="str" cm="1">
        <f t="array" ref="AC13">_xlfn.LET(_xlpm.champ,suivi[membre.prive.utilisation_image],
_xlpm.liste_unique,IFERROR(_xlfn.UNIQUE(_xlfn._xlws.FILTER(_xlpm.champ,(suivi['#support.saison_en_cours]=1)*(_xlpm.champ&lt;&gt;"")*(suivi[membre.id]=annuaire[[#This Row],[id]]))),""),
INDEX(_xlpm.liste_unique,ROWS(_xlpm.liste_unique)))</f>
        <v/>
      </c>
      <c r="AD13" t="str">
        <f ca="1">IF(OR(annuaire[[#This Row],[saison.cotis]]=1,annuaire[[#This Row],[stats.der_activite]]&gt;EDATE(TODAY(),-12)),1,"")</f>
        <v/>
      </c>
      <c r="AE13" s="7" t="str">
        <f>IF(annuaire[[#This Row],[saison.presence]]=0,"",IF(annuaire[[#This Row],[saison.cotis]]=1," ", annuaire[[#This Row],[saison.presence]]))</f>
        <v/>
      </c>
      <c r="AF13" t="str">
        <f>IF(annuaire[[#This Row],[pseudo_discord]]="","",MATCH(annuaire[[#This Row],[pseudo_discord]],#REF!,0))</f>
        <v/>
      </c>
    </row>
    <row r="14" spans="1:32" x14ac:dyDescent="0.25">
      <c r="A14" s="10">
        <v>13</v>
      </c>
      <c r="B14" s="1">
        <f>_xlfn.MINIFS(suivi[date],suivi[membre.id],annuaire[[#This Row],[id]])</f>
        <v>0</v>
      </c>
      <c r="C14" t="str" cm="1">
        <f t="array" ref="C14">_xlfn.LET(_xlpm.champ,suivi[membre.prive.nom],
_xlpm.liste_unique,IFERROR(_xlfn.UNIQUE(_xlfn._xlws.FILTER(_xlpm.champ,(_xlpm.champ&lt;&gt;"")*(suivi[membre.id]=annuaire[[#This Row],[id]]))),""),
INDEX(_xlpm.liste_unique,ROWS(_xlpm.liste_unique)))</f>
        <v/>
      </c>
      <c r="D14" t="str" cm="1">
        <f t="array" ref="D14">_xlfn.LET(_xlpm.champ,suivi[membre.prive.prenom],
_xlpm.liste_unique,IFERROR(_xlfn.UNIQUE(_xlfn._xlws.FILTER(_xlpm.champ,(_xlpm.champ&lt;&gt;"")*(suivi[membre.id]=annuaire[[#This Row],[id]]))),""),
INDEX(_xlpm.liste_unique,ROWS(_xlpm.liste_unique)))</f>
        <v/>
      </c>
      <c r="E14" s="1" t="str" cm="1">
        <f t="array" ref="E14">_xlfn.LET(_xlpm.champ,suivi[membre.prive.date_naissance],
_xlpm.liste_unique,IFERROR(_xlfn.UNIQUE(_xlfn._xlws.FILTER(_xlpm.champ,(_xlpm.champ&lt;&gt;"")*(suivi[membre.id]=annuaire[[#This Row],[id]]))),""),
INDEX(_xlpm.liste_unique,ROWS(_xlpm.liste_unique)))</f>
        <v/>
      </c>
      <c r="F14" t="str" cm="1">
        <f t="array" ref="F14">_xlfn.LET(_xlpm.champ,suivi[membre.prive.'[emails']],
_xlpm.liste_unique,IFERROR(_xlfn.UNIQUE(_xlfn._xlws.FILTER(_xlpm.champ,(_xlpm.champ&lt;&gt;"")*(suivi[membre.id]=annuaire[[#This Row],[id]]))),""),
INDEX(_xlpm.liste_unique,ROWS(_xlpm.liste_unique)))</f>
        <v/>
      </c>
      <c r="G14" t="str" cm="1">
        <f t="array" ref="G14">_xlfn.LET(_xlpm.champ,suivi[membre.prive.'[telephone']],
_xlpm.liste_unique,IFERROR(_xlfn.UNIQUE(_xlfn._xlws.FILTER(_xlpm.champ,(_xlpm.champ&lt;&gt;"")*(suivi[membre.id]=annuaire[[#This Row],[id]]))),""),
INDEX(_xlpm.liste_unique,ROWS(_xlpm.liste_unique)))</f>
        <v/>
      </c>
      <c r="H14" t="str" cm="1">
        <f t="array" ref="H14">_xlfn.LET(_xlpm.champ,suivi[membre.prive.adresse.numero],
_xlpm.liste_unique,IFERROR(_xlfn.UNIQUE(_xlfn._xlws.FILTER(_xlpm.champ,(_xlpm.champ&lt;&gt;"")*(suivi[membre.id]=annuaire[[#This Row],[id]]))),""),
INDEX(_xlpm.liste_unique,ROWS(_xlpm.liste_unique)))</f>
        <v/>
      </c>
      <c r="I14" s="2" t="str" cm="1">
        <f t="array" ref="I14">_xlfn.LET(_xlpm.champ,suivi[membre.prive.adresse.type_voie],
_xlpm.liste_unique,IFERROR(_xlfn.UNIQUE(_xlfn._xlws.FILTER(_xlpm.champ,(_xlpm.champ&lt;&gt;"")*(suivi[membre.id]=annuaire[[#This Row],[id]]))),""),
INDEX(_xlpm.liste_unique,ROWS(_xlpm.liste_unique)))</f>
        <v/>
      </c>
      <c r="J14" t="str" cm="1">
        <f t="array" ref="J14">_xlfn.LET(_xlpm.champ,suivi[membre.prive.adresse.nom_voie],
_xlpm.liste_unique,IFERROR(_xlfn.UNIQUE(_xlfn._xlws.FILTER(_xlpm.champ,(_xlpm.champ&lt;&gt;"")*(suivi[membre.id]=annuaire[[#This Row],[id]]))),""),
INDEX(_xlpm.liste_unique,ROWS(_xlpm.liste_unique)))</f>
        <v/>
      </c>
      <c r="K14" t="str" cm="1">
        <f t="array" ref="K14">_xlfn.LET(_xlpm.champ,suivi[membre.prive.adresse.autre],
_xlpm.liste_unique,IFERROR(_xlfn.UNIQUE(_xlfn._xlws.FILTER(_xlpm.champ,(_xlpm.champ&lt;&gt;"")*(suivi[membre.id]=annuaire[[#This Row],[id]]))),""),
INDEX(_xlpm.liste_unique,ROWS(_xlpm.liste_unique)))</f>
        <v/>
      </c>
      <c r="L14" t="str" cm="1">
        <f t="array" ref="L14">_xlfn.LET(_xlpm.champ,suivi[membre.prive.adresse.cp],
_xlpm.liste_unique,IFERROR(_xlfn.UNIQUE(_xlfn._xlws.FILTER(_xlpm.champ,(_xlpm.champ&lt;&gt;"")*(suivi[membre.id]=annuaire[[#This Row],[id]]))),""),
INDEX(_xlpm.liste_unique,ROWS(_xlpm.liste_unique)))</f>
        <v/>
      </c>
      <c r="M14" s="5" t="str" cm="1">
        <f t="array" ref="M14">_xlfn.LET(_xlpm.champ,suivi[membre.prive.adresse.ville],
_xlpm.liste_unique,IFERROR(_xlfn.UNIQUE(_xlfn._xlws.FILTER(_xlpm.champ,(_xlpm.champ&lt;&gt;"")*(suivi[membre.id]=annuaire[[#This Row],[id]]))),""),
INDEX(_xlpm.liste_unique,ROWS(_xlpm.liste_unique)))</f>
        <v/>
      </c>
      <c r="N14" t="str" cm="1">
        <f t="array" ref="N14">_xlfn.LET(_xlpm.champ,suivi[membre.prive.pseudo_discord],
_xlpm.liste_unique,IFERROR(_xlfn.UNIQUE(_xlfn._xlws.FILTER(_xlpm.champ,(_xlpm.champ&lt;&gt;"")*(suivi[membre.id]=annuaire[[#This Row],[id]]))),""),
INDEX(_xlpm.liste_unique,ROWS(_xlpm.liste_unique)))</f>
        <v/>
      </c>
      <c r="O14" t="str" cm="1">
        <f t="array" ref="O14">_xlfn.LET(_xlpm.champ,suivi[membre.source_connaissance],
_xlpm.liste_unique,IFERROR(_xlfn.UNIQUE(_xlfn._xlws.FILTER(_xlpm.champ,(_xlpm.champ&lt;&gt;"")*(suivi[membre.id]=annuaire[[#This Row],[id]]))),""),
INDEX(_xlpm.liste_unique,ROWS(_xlpm.liste_unique)))</f>
        <v/>
      </c>
      <c r="P14" t="str">
        <f>IF(annuaire[[#This Row],[nom]]&lt;&gt;"",PROPER(annuaire[[#This Row],[nom]])&amp;IF(annuaire[[#This Row],[prenom]]&lt;&gt;""," "&amp;PROPER(annuaire[[#This Row],[prenom]]),""),
IF(annuaire[[#This Row],[pseudo_discord]]&lt;&gt;"","[discord] "&amp;annuaire[[#This Row],[pseudo_discord]]&amp;IF(annuaire[[#This Row],[prenom]]&lt;&gt;""," ("&amp;PROPER(annuaire[[#This Row],[prenom]])&amp;")",""),
IF(annuaire[[#This Row],[emails]]&lt;&gt;"","[email] "&amp;annuaire[[#This Row],[emails]]&amp;IF(annuaire[[#This Row],[prenom]]&lt;&gt;""," ("&amp;PROPER(annuaire[[#This Row],[prenom]])&amp;")",""),
IF(annuaire[[#This Row],[prenom]]&lt;&gt;"",PROPER(annuaire[[#This Row],[prenom]]),"AJ-"&amp;TEXT(annuaire[[#This Row],[id]],"00000")))))</f>
        <v>AJ-00013</v>
      </c>
      <c r="Q14" s="8">
        <f>COUNTIFS(suivi[entree.categorie],cotisation,suivi[membre.id],annuaire[[#This Row],[id]])</f>
        <v>0</v>
      </c>
      <c r="R14" s="9" t="str">
        <f>_xlfn.LET(_xlpm.der_pres,_xlfn.MINIFS(suivi[date],suivi[entree.categorie],cotisation,suivi[membre.id],annuaire[[#This Row],[id]]),
IF(_xlpm.der_pres=0,"",_xlpm.der_pres))</f>
        <v/>
      </c>
      <c r="S14" s="9" t="str">
        <f>_xlfn.LET(_xlpm.der_pres,_xlfn.MAXIFS(suivi[date],suivi[entree.categorie],cotisation,suivi[membre.id],annuaire[[#This Row],[id]]),
IF(_xlpm.der_pres=0,"",_xlpm.der_pres))</f>
        <v/>
      </c>
      <c r="T14" s="8">
        <f>COUNTIFS(suivi[entree.categorie],presence,suivi[membre.id],annuaire[[#This Row],[id]])</f>
        <v>0</v>
      </c>
      <c r="U14" s="9">
        <f>_xlfn.MAXIFS(suivi[date],suivi[membre.id],annuaire[[#This Row],[id]])</f>
        <v>0</v>
      </c>
      <c r="V14" s="8">
        <f>COUNTIFS(suivi[entree.categorie],presence,suivi[membre.id],annuaire[[#This Row],[id]],suivi['#support.saison_en_cours],1)</f>
        <v>0</v>
      </c>
      <c r="W14" s="8">
        <f>IF(COUNTIFS(suivi[entree.categorie],cotisation,suivi[membre.id],annuaire[[#This Row],[id]],suivi['#support.saison_en_cours],1)&gt;0,1,0)</f>
        <v>0</v>
      </c>
      <c r="X14" t="b">
        <f ca="1">IF(annuaire[[#This Row],[stats.cotis.derniere]]="",FALSE,
_xlfn.LET(
_xlpm.derniere_cotis_nb_mois,ROUNDDOWN((saison_debut-annuaire[[#This Row],[stats.cotis.derniere]])/30,1),
_xlpm.derniere_cotis_saison_precedente,AND(_xlpm.derniere_cotis_nb_mois&gt;0,_xlpm.derniere_cotis_nb_mois&lt;13),
_xlpm.nouvelle_saison_depuismoins2mois,(TODAY()-saison_debut)/30&lt;3,
AND(_xlpm.derniere_cotis_saison_precedente,_xlpm.nouvelle_saison_depuismoins2mois)
)
)</f>
        <v>0</v>
      </c>
      <c r="Y14" t="str" cm="1">
        <f t="array" ref="Y14">IFERROR(_xlfn.LET(_xlpm.filtre_table_suivi_saison_role,(suivi[membre.asso_role]&lt;&gt;"")*(suivi['#support.saison_en_cours]=1),
                                             _xlpm.nomination_saison_id,_xlfn._xlws.FILTER(suivi[membre.id],_xlpm.filtre_table_suivi_saison_role),
                                             _xlpm.nomination_saison_role,_xlfn._xlws.FILTER(suivi[membre.asso_role],_xlpm.filtre_table_suivi_saison_role),
                                             INDEX(_xlpm.nomination_saison_role,MATCH(annuaire[[#This Row],[id]],_xlpm.nomination_saison_id,0))),
                                         "")</f>
        <v/>
      </c>
      <c r="Z14" t="str">
        <f ca="1">IF(annuaire[[#This Row],[saison.asso_role_manuel]]&lt;&gt;"",annuaire[[#This Row],[saison.asso_role_manuel]],
IF(annuaire[[#This Row],[saison.cotis]]&gt;0,cotisant,
IF(annuaire[[#This Row],[saison.precedente]],cotisant_saison_prec,
"")))</f>
        <v/>
      </c>
      <c r="AA14" t="str" cm="1">
        <f t="array" ref="AA14">_xlfn.LET(_xlpm.champ,suivi[membre.prive.approbation_statuts],
_xlpm.liste_unique,IFERROR(_xlfn.UNIQUE(_xlfn._xlws.FILTER(_xlpm.champ,(suivi['#support.saison_en_cours]=1)*(_xlpm.champ&lt;&gt;"")*(suivi[membre.id]=annuaire[[#This Row],[id]]))),""),
INDEX(_xlpm.liste_unique,ROWS(_xlpm.liste_unique)))</f>
        <v/>
      </c>
      <c r="AB14" t="str" cm="1">
        <f t="array" ref="AB14">_xlfn.LET(_xlpm.champ,suivi[membre.prive.assurance_resp_civile],
_xlpm.liste_unique,IFERROR(_xlfn.UNIQUE(_xlfn._xlws.FILTER(_xlpm.champ,(suivi['#support.saison_en_cours]=1)*(_xlpm.champ&lt;&gt;"")*(suivi[membre.id]=annuaire[[#This Row],[id]]))),""),
INDEX(_xlpm.liste_unique,ROWS(_xlpm.liste_unique)))</f>
        <v/>
      </c>
      <c r="AC14" t="str" cm="1">
        <f t="array" ref="AC14">_xlfn.LET(_xlpm.champ,suivi[membre.prive.utilisation_image],
_xlpm.liste_unique,IFERROR(_xlfn.UNIQUE(_xlfn._xlws.FILTER(_xlpm.champ,(suivi['#support.saison_en_cours]=1)*(_xlpm.champ&lt;&gt;"")*(suivi[membre.id]=annuaire[[#This Row],[id]]))),""),
INDEX(_xlpm.liste_unique,ROWS(_xlpm.liste_unique)))</f>
        <v/>
      </c>
      <c r="AD14" t="str">
        <f ca="1">IF(OR(annuaire[[#This Row],[saison.cotis]]=1,annuaire[[#This Row],[stats.der_activite]]&gt;EDATE(TODAY(),-12)),1,"")</f>
        <v/>
      </c>
      <c r="AE14" s="7" t="str">
        <f>IF(annuaire[[#This Row],[saison.presence]]=0,"",IF(annuaire[[#This Row],[saison.cotis]]=1," ", annuaire[[#This Row],[saison.presence]]))</f>
        <v/>
      </c>
      <c r="AF14" t="str">
        <f>IF(annuaire[[#This Row],[pseudo_discord]]="","",MATCH(annuaire[[#This Row],[pseudo_discord]],#REF!,0))</f>
        <v/>
      </c>
    </row>
    <row r="15" spans="1:32" x14ac:dyDescent="0.25">
      <c r="A15" s="10">
        <v>14</v>
      </c>
      <c r="B15" s="1">
        <f>_xlfn.MINIFS(suivi[date],suivi[membre.id],annuaire[[#This Row],[id]])</f>
        <v>0</v>
      </c>
      <c r="C15" t="str" cm="1">
        <f t="array" ref="C15">_xlfn.LET(_xlpm.champ,suivi[membre.prive.nom],
_xlpm.liste_unique,IFERROR(_xlfn.UNIQUE(_xlfn._xlws.FILTER(_xlpm.champ,(_xlpm.champ&lt;&gt;"")*(suivi[membre.id]=annuaire[[#This Row],[id]]))),""),
INDEX(_xlpm.liste_unique,ROWS(_xlpm.liste_unique)))</f>
        <v/>
      </c>
      <c r="D15" t="str" cm="1">
        <f t="array" ref="D15">_xlfn.LET(_xlpm.champ,suivi[membre.prive.prenom],
_xlpm.liste_unique,IFERROR(_xlfn.UNIQUE(_xlfn._xlws.FILTER(_xlpm.champ,(_xlpm.champ&lt;&gt;"")*(suivi[membre.id]=annuaire[[#This Row],[id]]))),""),
INDEX(_xlpm.liste_unique,ROWS(_xlpm.liste_unique)))</f>
        <v/>
      </c>
      <c r="E15" s="1" t="str" cm="1">
        <f t="array" ref="E15">_xlfn.LET(_xlpm.champ,suivi[membre.prive.date_naissance],
_xlpm.liste_unique,IFERROR(_xlfn.UNIQUE(_xlfn._xlws.FILTER(_xlpm.champ,(_xlpm.champ&lt;&gt;"")*(suivi[membre.id]=annuaire[[#This Row],[id]]))),""),
INDEX(_xlpm.liste_unique,ROWS(_xlpm.liste_unique)))</f>
        <v/>
      </c>
      <c r="F15" s="3" t="str" cm="1">
        <f t="array" ref="F15">_xlfn.LET(_xlpm.champ,suivi[membre.prive.'[emails']],
_xlpm.liste_unique,IFERROR(_xlfn.UNIQUE(_xlfn._xlws.FILTER(_xlpm.champ,(_xlpm.champ&lt;&gt;"")*(suivi[membre.id]=annuaire[[#This Row],[id]]))),""),
INDEX(_xlpm.liste_unique,ROWS(_xlpm.liste_unique)))</f>
        <v/>
      </c>
      <c r="G15" t="str" cm="1">
        <f t="array" ref="G15">_xlfn.LET(_xlpm.champ,suivi[membre.prive.'[telephone']],
_xlpm.liste_unique,IFERROR(_xlfn.UNIQUE(_xlfn._xlws.FILTER(_xlpm.champ,(_xlpm.champ&lt;&gt;"")*(suivi[membre.id]=annuaire[[#This Row],[id]]))),""),
INDEX(_xlpm.liste_unique,ROWS(_xlpm.liste_unique)))</f>
        <v/>
      </c>
      <c r="H15" t="str" cm="1">
        <f t="array" ref="H15">_xlfn.LET(_xlpm.champ,suivi[membre.prive.adresse.numero],
_xlpm.liste_unique,IFERROR(_xlfn.UNIQUE(_xlfn._xlws.FILTER(_xlpm.champ,(_xlpm.champ&lt;&gt;"")*(suivi[membre.id]=annuaire[[#This Row],[id]]))),""),
INDEX(_xlpm.liste_unique,ROWS(_xlpm.liste_unique)))</f>
        <v/>
      </c>
      <c r="I15" s="2" t="str" cm="1">
        <f t="array" ref="I15">_xlfn.LET(_xlpm.champ,suivi[membre.prive.adresse.type_voie],
_xlpm.liste_unique,IFERROR(_xlfn.UNIQUE(_xlfn._xlws.FILTER(_xlpm.champ,(_xlpm.champ&lt;&gt;"")*(suivi[membre.id]=annuaire[[#This Row],[id]]))),""),
INDEX(_xlpm.liste_unique,ROWS(_xlpm.liste_unique)))</f>
        <v/>
      </c>
      <c r="J15" t="str" cm="1">
        <f t="array" ref="J15">_xlfn.LET(_xlpm.champ,suivi[membre.prive.adresse.nom_voie],
_xlpm.liste_unique,IFERROR(_xlfn.UNIQUE(_xlfn._xlws.FILTER(_xlpm.champ,(_xlpm.champ&lt;&gt;"")*(suivi[membre.id]=annuaire[[#This Row],[id]]))),""),
INDEX(_xlpm.liste_unique,ROWS(_xlpm.liste_unique)))</f>
        <v/>
      </c>
      <c r="K15" t="str" cm="1">
        <f t="array" ref="K15">_xlfn.LET(_xlpm.champ,suivi[membre.prive.adresse.autre],
_xlpm.liste_unique,IFERROR(_xlfn.UNIQUE(_xlfn._xlws.FILTER(_xlpm.champ,(_xlpm.champ&lt;&gt;"")*(suivi[membre.id]=annuaire[[#This Row],[id]]))),""),
INDEX(_xlpm.liste_unique,ROWS(_xlpm.liste_unique)))</f>
        <v/>
      </c>
      <c r="L15" t="str" cm="1">
        <f t="array" ref="L15">_xlfn.LET(_xlpm.champ,suivi[membre.prive.adresse.cp],
_xlpm.liste_unique,IFERROR(_xlfn.UNIQUE(_xlfn._xlws.FILTER(_xlpm.champ,(_xlpm.champ&lt;&gt;"")*(suivi[membre.id]=annuaire[[#This Row],[id]]))),""),
INDEX(_xlpm.liste_unique,ROWS(_xlpm.liste_unique)))</f>
        <v/>
      </c>
      <c r="M15" s="5" t="str" cm="1">
        <f t="array" ref="M15">_xlfn.LET(_xlpm.champ,suivi[membre.prive.adresse.ville],
_xlpm.liste_unique,IFERROR(_xlfn.UNIQUE(_xlfn._xlws.FILTER(_xlpm.champ,(_xlpm.champ&lt;&gt;"")*(suivi[membre.id]=annuaire[[#This Row],[id]]))),""),
INDEX(_xlpm.liste_unique,ROWS(_xlpm.liste_unique)))</f>
        <v/>
      </c>
      <c r="N15" t="str" cm="1">
        <f t="array" ref="N15">_xlfn.LET(_xlpm.champ,suivi[membre.prive.pseudo_discord],
_xlpm.liste_unique,IFERROR(_xlfn.UNIQUE(_xlfn._xlws.FILTER(_xlpm.champ,(_xlpm.champ&lt;&gt;"")*(suivi[membre.id]=annuaire[[#This Row],[id]]))),""),
INDEX(_xlpm.liste_unique,ROWS(_xlpm.liste_unique)))</f>
        <v/>
      </c>
      <c r="O15" t="str" cm="1">
        <f t="array" ref="O15">_xlfn.LET(_xlpm.champ,suivi[membre.source_connaissance],
_xlpm.liste_unique,IFERROR(_xlfn.UNIQUE(_xlfn._xlws.FILTER(_xlpm.champ,(_xlpm.champ&lt;&gt;"")*(suivi[membre.id]=annuaire[[#This Row],[id]]))),""),
INDEX(_xlpm.liste_unique,ROWS(_xlpm.liste_unique)))</f>
        <v/>
      </c>
      <c r="P15" t="str">
        <f>IF(annuaire[[#This Row],[nom]]&lt;&gt;"",PROPER(annuaire[[#This Row],[nom]])&amp;IF(annuaire[[#This Row],[prenom]]&lt;&gt;""," "&amp;PROPER(annuaire[[#This Row],[prenom]]),""),
IF(annuaire[[#This Row],[pseudo_discord]]&lt;&gt;"","[discord] "&amp;annuaire[[#This Row],[pseudo_discord]]&amp;IF(annuaire[[#This Row],[prenom]]&lt;&gt;""," ("&amp;PROPER(annuaire[[#This Row],[prenom]])&amp;")",""),
IF(annuaire[[#This Row],[emails]]&lt;&gt;"","[email] "&amp;annuaire[[#This Row],[emails]]&amp;IF(annuaire[[#This Row],[prenom]]&lt;&gt;""," ("&amp;PROPER(annuaire[[#This Row],[prenom]])&amp;")",""),
IF(annuaire[[#This Row],[prenom]]&lt;&gt;"",PROPER(annuaire[[#This Row],[prenom]]),"AJ-"&amp;TEXT(annuaire[[#This Row],[id]],"00000")))))</f>
        <v>AJ-00014</v>
      </c>
      <c r="Q15" s="8">
        <f>COUNTIFS(suivi[entree.categorie],cotisation,suivi[membre.id],annuaire[[#This Row],[id]])</f>
        <v>0</v>
      </c>
      <c r="R15" s="9" t="str">
        <f>_xlfn.LET(_xlpm.der_pres,_xlfn.MINIFS(suivi[date],suivi[entree.categorie],cotisation,suivi[membre.id],annuaire[[#This Row],[id]]),
IF(_xlpm.der_pres=0,"",_xlpm.der_pres))</f>
        <v/>
      </c>
      <c r="S15" s="9" t="str">
        <f>_xlfn.LET(_xlpm.der_pres,_xlfn.MAXIFS(suivi[date],suivi[entree.categorie],cotisation,suivi[membre.id],annuaire[[#This Row],[id]]),
IF(_xlpm.der_pres=0,"",_xlpm.der_pres))</f>
        <v/>
      </c>
      <c r="T15" s="8">
        <f>COUNTIFS(suivi[entree.categorie],presence,suivi[membre.id],annuaire[[#This Row],[id]])</f>
        <v>0</v>
      </c>
      <c r="U15" s="9">
        <f>_xlfn.MAXIFS(suivi[date],suivi[membre.id],annuaire[[#This Row],[id]])</f>
        <v>0</v>
      </c>
      <c r="V15" s="8">
        <f>COUNTIFS(suivi[entree.categorie],presence,suivi[membre.id],annuaire[[#This Row],[id]],suivi['#support.saison_en_cours],1)</f>
        <v>0</v>
      </c>
      <c r="W15" s="8">
        <f>IF(COUNTIFS(suivi[entree.categorie],cotisation,suivi[membre.id],annuaire[[#This Row],[id]],suivi['#support.saison_en_cours],1)&gt;0,1,0)</f>
        <v>0</v>
      </c>
      <c r="X15" t="b">
        <f ca="1">IF(annuaire[[#This Row],[stats.cotis.derniere]]="",FALSE,
_xlfn.LET(
_xlpm.derniere_cotis_nb_mois,ROUNDDOWN((saison_debut-annuaire[[#This Row],[stats.cotis.derniere]])/30,1),
_xlpm.derniere_cotis_saison_precedente,AND(_xlpm.derniere_cotis_nb_mois&gt;0,_xlpm.derniere_cotis_nb_mois&lt;13),
_xlpm.nouvelle_saison_depuismoins2mois,(TODAY()-saison_debut)/30&lt;3,
AND(_xlpm.derniere_cotis_saison_precedente,_xlpm.nouvelle_saison_depuismoins2mois)
)
)</f>
        <v>0</v>
      </c>
      <c r="Y15" t="str" cm="1">
        <f t="array" ref="Y15">IFERROR(_xlfn.LET(_xlpm.filtre_table_suivi_saison_role,(suivi[membre.asso_role]&lt;&gt;"")*(suivi['#support.saison_en_cours]=1),
                                             _xlpm.nomination_saison_id,_xlfn._xlws.FILTER(suivi[membre.id],_xlpm.filtre_table_suivi_saison_role),
                                             _xlpm.nomination_saison_role,_xlfn._xlws.FILTER(suivi[membre.asso_role],_xlpm.filtre_table_suivi_saison_role),
                                             INDEX(_xlpm.nomination_saison_role,MATCH(annuaire[[#This Row],[id]],_xlpm.nomination_saison_id,0))),
                                         "")</f>
        <v/>
      </c>
      <c r="Z15" t="str">
        <f ca="1">IF(annuaire[[#This Row],[saison.asso_role_manuel]]&lt;&gt;"",annuaire[[#This Row],[saison.asso_role_manuel]],
IF(annuaire[[#This Row],[saison.cotis]]&gt;0,cotisant,
IF(annuaire[[#This Row],[saison.precedente]],cotisant_saison_prec,
"")))</f>
        <v/>
      </c>
      <c r="AA15" t="str" cm="1">
        <f t="array" ref="AA15">_xlfn.LET(_xlpm.champ,suivi[membre.prive.approbation_statuts],
_xlpm.liste_unique,IFERROR(_xlfn.UNIQUE(_xlfn._xlws.FILTER(_xlpm.champ,(suivi['#support.saison_en_cours]=1)*(_xlpm.champ&lt;&gt;"")*(suivi[membre.id]=annuaire[[#This Row],[id]]))),""),
INDEX(_xlpm.liste_unique,ROWS(_xlpm.liste_unique)))</f>
        <v/>
      </c>
      <c r="AB15" t="str" cm="1">
        <f t="array" ref="AB15">_xlfn.LET(_xlpm.champ,suivi[membre.prive.assurance_resp_civile],
_xlpm.liste_unique,IFERROR(_xlfn.UNIQUE(_xlfn._xlws.FILTER(_xlpm.champ,(suivi['#support.saison_en_cours]=1)*(_xlpm.champ&lt;&gt;"")*(suivi[membre.id]=annuaire[[#This Row],[id]]))),""),
INDEX(_xlpm.liste_unique,ROWS(_xlpm.liste_unique)))</f>
        <v/>
      </c>
      <c r="AC15" t="str" cm="1">
        <f t="array" ref="AC15">_xlfn.LET(_xlpm.champ,suivi[membre.prive.utilisation_image],
_xlpm.liste_unique,IFERROR(_xlfn.UNIQUE(_xlfn._xlws.FILTER(_xlpm.champ,(suivi['#support.saison_en_cours]=1)*(_xlpm.champ&lt;&gt;"")*(suivi[membre.id]=annuaire[[#This Row],[id]]))),""),
INDEX(_xlpm.liste_unique,ROWS(_xlpm.liste_unique)))</f>
        <v/>
      </c>
      <c r="AD15" t="str">
        <f ca="1">IF(OR(annuaire[[#This Row],[saison.cotis]]=1,annuaire[[#This Row],[stats.der_activite]]&gt;EDATE(TODAY(),-12)),1,"")</f>
        <v/>
      </c>
      <c r="AE15" s="7" t="str">
        <f>IF(annuaire[[#This Row],[saison.presence]]=0,"",IF(annuaire[[#This Row],[saison.cotis]]=1," ", annuaire[[#This Row],[saison.presence]]))</f>
        <v/>
      </c>
      <c r="AF15" t="str">
        <f>IF(annuaire[[#This Row],[pseudo_discord]]="","",MATCH(annuaire[[#This Row],[pseudo_discord]],#REF!,0))</f>
        <v/>
      </c>
    </row>
    <row r="16" spans="1:32" x14ac:dyDescent="0.25">
      <c r="A16" s="10">
        <v>15</v>
      </c>
      <c r="B16" s="1">
        <f>_xlfn.MINIFS(suivi[date],suivi[membre.id],annuaire[[#This Row],[id]])</f>
        <v>0</v>
      </c>
      <c r="C16" t="str" cm="1">
        <f t="array" ref="C16">_xlfn.LET(_xlpm.champ,suivi[membre.prive.nom],
_xlpm.liste_unique,IFERROR(_xlfn.UNIQUE(_xlfn._xlws.FILTER(_xlpm.champ,(_xlpm.champ&lt;&gt;"")*(suivi[membre.id]=annuaire[[#This Row],[id]]))),""),
INDEX(_xlpm.liste_unique,ROWS(_xlpm.liste_unique)))</f>
        <v/>
      </c>
      <c r="D16" t="str" cm="1">
        <f t="array" ref="D16">_xlfn.LET(_xlpm.champ,suivi[membre.prive.prenom],
_xlpm.liste_unique,IFERROR(_xlfn.UNIQUE(_xlfn._xlws.FILTER(_xlpm.champ,(_xlpm.champ&lt;&gt;"")*(suivi[membre.id]=annuaire[[#This Row],[id]]))),""),
INDEX(_xlpm.liste_unique,ROWS(_xlpm.liste_unique)))</f>
        <v/>
      </c>
      <c r="E16" s="1" t="str" cm="1">
        <f t="array" ref="E16">_xlfn.LET(_xlpm.champ,suivi[membre.prive.date_naissance],
_xlpm.liste_unique,IFERROR(_xlfn.UNIQUE(_xlfn._xlws.FILTER(_xlpm.champ,(_xlpm.champ&lt;&gt;"")*(suivi[membre.id]=annuaire[[#This Row],[id]]))),""),
INDEX(_xlpm.liste_unique,ROWS(_xlpm.liste_unique)))</f>
        <v/>
      </c>
      <c r="F16" s="3" t="str" cm="1">
        <f t="array" ref="F16">_xlfn.LET(_xlpm.champ,suivi[membre.prive.'[emails']],
_xlpm.liste_unique,IFERROR(_xlfn.UNIQUE(_xlfn._xlws.FILTER(_xlpm.champ,(_xlpm.champ&lt;&gt;"")*(suivi[membre.id]=annuaire[[#This Row],[id]]))),""),
INDEX(_xlpm.liste_unique,ROWS(_xlpm.liste_unique)))</f>
        <v/>
      </c>
      <c r="G16" t="str" cm="1">
        <f t="array" ref="G16">_xlfn.LET(_xlpm.champ,suivi[membre.prive.'[telephone']],
_xlpm.liste_unique,IFERROR(_xlfn.UNIQUE(_xlfn._xlws.FILTER(_xlpm.champ,(_xlpm.champ&lt;&gt;"")*(suivi[membre.id]=annuaire[[#This Row],[id]]))),""),
INDEX(_xlpm.liste_unique,ROWS(_xlpm.liste_unique)))</f>
        <v/>
      </c>
      <c r="H16" t="str" cm="1">
        <f t="array" ref="H16">_xlfn.LET(_xlpm.champ,suivi[membre.prive.adresse.numero],
_xlpm.liste_unique,IFERROR(_xlfn.UNIQUE(_xlfn._xlws.FILTER(_xlpm.champ,(_xlpm.champ&lt;&gt;"")*(suivi[membre.id]=annuaire[[#This Row],[id]]))),""),
INDEX(_xlpm.liste_unique,ROWS(_xlpm.liste_unique)))</f>
        <v/>
      </c>
      <c r="I16" t="str" cm="1">
        <f t="array" ref="I16">_xlfn.LET(_xlpm.champ,suivi[membre.prive.adresse.type_voie],
_xlpm.liste_unique,IFERROR(_xlfn.UNIQUE(_xlfn._xlws.FILTER(_xlpm.champ,(_xlpm.champ&lt;&gt;"")*(suivi[membre.id]=annuaire[[#This Row],[id]]))),""),
INDEX(_xlpm.liste_unique,ROWS(_xlpm.liste_unique)))</f>
        <v/>
      </c>
      <c r="J16" t="str" cm="1">
        <f t="array" ref="J16">_xlfn.LET(_xlpm.champ,suivi[membre.prive.adresse.nom_voie],
_xlpm.liste_unique,IFERROR(_xlfn.UNIQUE(_xlfn._xlws.FILTER(_xlpm.champ,(_xlpm.champ&lt;&gt;"")*(suivi[membre.id]=annuaire[[#This Row],[id]]))),""),
INDEX(_xlpm.liste_unique,ROWS(_xlpm.liste_unique)))</f>
        <v/>
      </c>
      <c r="K16" t="str" cm="1">
        <f t="array" ref="K16">_xlfn.LET(_xlpm.champ,suivi[membre.prive.adresse.autre],
_xlpm.liste_unique,IFERROR(_xlfn.UNIQUE(_xlfn._xlws.FILTER(_xlpm.champ,(_xlpm.champ&lt;&gt;"")*(suivi[membre.id]=annuaire[[#This Row],[id]]))),""),
INDEX(_xlpm.liste_unique,ROWS(_xlpm.liste_unique)))</f>
        <v/>
      </c>
      <c r="L16" t="str" cm="1">
        <f t="array" ref="L16">_xlfn.LET(_xlpm.champ,suivi[membre.prive.adresse.cp],
_xlpm.liste_unique,IFERROR(_xlfn.UNIQUE(_xlfn._xlws.FILTER(_xlpm.champ,(_xlpm.champ&lt;&gt;"")*(suivi[membre.id]=annuaire[[#This Row],[id]]))),""),
INDEX(_xlpm.liste_unique,ROWS(_xlpm.liste_unique)))</f>
        <v/>
      </c>
      <c r="M16" s="5" t="str" cm="1">
        <f t="array" ref="M16">_xlfn.LET(_xlpm.champ,suivi[membre.prive.adresse.ville],
_xlpm.liste_unique,IFERROR(_xlfn.UNIQUE(_xlfn._xlws.FILTER(_xlpm.champ,(_xlpm.champ&lt;&gt;"")*(suivi[membre.id]=annuaire[[#This Row],[id]]))),""),
INDEX(_xlpm.liste_unique,ROWS(_xlpm.liste_unique)))</f>
        <v/>
      </c>
      <c r="N16" t="str" cm="1">
        <f t="array" ref="N16">_xlfn.LET(_xlpm.champ,suivi[membre.prive.pseudo_discord],
_xlpm.liste_unique,IFERROR(_xlfn.UNIQUE(_xlfn._xlws.FILTER(_xlpm.champ,(_xlpm.champ&lt;&gt;"")*(suivi[membre.id]=annuaire[[#This Row],[id]]))),""),
INDEX(_xlpm.liste_unique,ROWS(_xlpm.liste_unique)))</f>
        <v/>
      </c>
      <c r="O16" t="str" cm="1">
        <f t="array" ref="O16">_xlfn.LET(_xlpm.champ,suivi[membre.source_connaissance],
_xlpm.liste_unique,IFERROR(_xlfn.UNIQUE(_xlfn._xlws.FILTER(_xlpm.champ,(_xlpm.champ&lt;&gt;"")*(suivi[membre.id]=annuaire[[#This Row],[id]]))),""),
INDEX(_xlpm.liste_unique,ROWS(_xlpm.liste_unique)))</f>
        <v/>
      </c>
      <c r="P16" t="str">
        <f>IF(annuaire[[#This Row],[nom]]&lt;&gt;"",PROPER(annuaire[[#This Row],[nom]])&amp;IF(annuaire[[#This Row],[prenom]]&lt;&gt;""," "&amp;PROPER(annuaire[[#This Row],[prenom]]),""),
IF(annuaire[[#This Row],[pseudo_discord]]&lt;&gt;"","[discord] "&amp;annuaire[[#This Row],[pseudo_discord]]&amp;IF(annuaire[[#This Row],[prenom]]&lt;&gt;""," ("&amp;PROPER(annuaire[[#This Row],[prenom]])&amp;")",""),
IF(annuaire[[#This Row],[emails]]&lt;&gt;"","[email] "&amp;annuaire[[#This Row],[emails]]&amp;IF(annuaire[[#This Row],[prenom]]&lt;&gt;""," ("&amp;PROPER(annuaire[[#This Row],[prenom]])&amp;")",""),
IF(annuaire[[#This Row],[prenom]]&lt;&gt;"",PROPER(annuaire[[#This Row],[prenom]]),"AJ-"&amp;TEXT(annuaire[[#This Row],[id]],"00000")))))</f>
        <v>AJ-00015</v>
      </c>
      <c r="Q16" s="8">
        <f>COUNTIFS(suivi[entree.categorie],cotisation,suivi[membre.id],annuaire[[#This Row],[id]])</f>
        <v>0</v>
      </c>
      <c r="R16" s="9" t="str">
        <f>_xlfn.LET(_xlpm.der_pres,_xlfn.MINIFS(suivi[date],suivi[entree.categorie],cotisation,suivi[membre.id],annuaire[[#This Row],[id]]),
IF(_xlpm.der_pres=0,"",_xlpm.der_pres))</f>
        <v/>
      </c>
      <c r="S16" s="9" t="str">
        <f>_xlfn.LET(_xlpm.der_pres,_xlfn.MAXIFS(suivi[date],suivi[entree.categorie],cotisation,suivi[membre.id],annuaire[[#This Row],[id]]),
IF(_xlpm.der_pres=0,"",_xlpm.der_pres))</f>
        <v/>
      </c>
      <c r="T16" s="8">
        <f>COUNTIFS(suivi[entree.categorie],presence,suivi[membre.id],annuaire[[#This Row],[id]])</f>
        <v>0</v>
      </c>
      <c r="U16" s="9">
        <f>_xlfn.MAXIFS(suivi[date],suivi[membre.id],annuaire[[#This Row],[id]])</f>
        <v>0</v>
      </c>
      <c r="V16" s="8">
        <f>COUNTIFS(suivi[entree.categorie],presence,suivi[membre.id],annuaire[[#This Row],[id]],suivi['#support.saison_en_cours],1)</f>
        <v>0</v>
      </c>
      <c r="W16" s="8">
        <f>IF(COUNTIFS(suivi[entree.categorie],cotisation,suivi[membre.id],annuaire[[#This Row],[id]],suivi['#support.saison_en_cours],1)&gt;0,1,0)</f>
        <v>0</v>
      </c>
      <c r="X16" t="b">
        <f ca="1">IF(annuaire[[#This Row],[stats.cotis.derniere]]="",FALSE,
_xlfn.LET(
_xlpm.derniere_cotis_nb_mois,ROUNDDOWN((saison_debut-annuaire[[#This Row],[stats.cotis.derniere]])/30,1),
_xlpm.derniere_cotis_saison_precedente,AND(_xlpm.derniere_cotis_nb_mois&gt;0,_xlpm.derniere_cotis_nb_mois&lt;13),
_xlpm.nouvelle_saison_depuismoins2mois,(TODAY()-saison_debut)/30&lt;3,
AND(_xlpm.derniere_cotis_saison_precedente,_xlpm.nouvelle_saison_depuismoins2mois)
)
)</f>
        <v>0</v>
      </c>
      <c r="Y16" t="str" cm="1">
        <f t="array" ref="Y16">IFERROR(_xlfn.LET(_xlpm.filtre_table_suivi_saison_role,(suivi[membre.asso_role]&lt;&gt;"")*(suivi['#support.saison_en_cours]=1),
                                             _xlpm.nomination_saison_id,_xlfn._xlws.FILTER(suivi[membre.id],_xlpm.filtre_table_suivi_saison_role),
                                             _xlpm.nomination_saison_role,_xlfn._xlws.FILTER(suivi[membre.asso_role],_xlpm.filtre_table_suivi_saison_role),
                                             INDEX(_xlpm.nomination_saison_role,MATCH(annuaire[[#This Row],[id]],_xlpm.nomination_saison_id,0))),
                                         "")</f>
        <v/>
      </c>
      <c r="Z16" t="str">
        <f ca="1">IF(annuaire[[#This Row],[saison.asso_role_manuel]]&lt;&gt;"",annuaire[[#This Row],[saison.asso_role_manuel]],
IF(annuaire[[#This Row],[saison.cotis]]&gt;0,cotisant,
IF(annuaire[[#This Row],[saison.precedente]],cotisant_saison_prec,
"")))</f>
        <v/>
      </c>
      <c r="AA16" t="str" cm="1">
        <f t="array" ref="AA16">_xlfn.LET(_xlpm.champ,suivi[membre.prive.approbation_statuts],
_xlpm.liste_unique,IFERROR(_xlfn.UNIQUE(_xlfn._xlws.FILTER(_xlpm.champ,(suivi['#support.saison_en_cours]=1)*(_xlpm.champ&lt;&gt;"")*(suivi[membre.id]=annuaire[[#This Row],[id]]))),""),
INDEX(_xlpm.liste_unique,ROWS(_xlpm.liste_unique)))</f>
        <v/>
      </c>
      <c r="AB16" t="str" cm="1">
        <f t="array" ref="AB16">_xlfn.LET(_xlpm.champ,suivi[membre.prive.assurance_resp_civile],
_xlpm.liste_unique,IFERROR(_xlfn.UNIQUE(_xlfn._xlws.FILTER(_xlpm.champ,(suivi['#support.saison_en_cours]=1)*(_xlpm.champ&lt;&gt;"")*(suivi[membre.id]=annuaire[[#This Row],[id]]))),""),
INDEX(_xlpm.liste_unique,ROWS(_xlpm.liste_unique)))</f>
        <v/>
      </c>
      <c r="AC16" t="str" cm="1">
        <f t="array" ref="AC16">_xlfn.LET(_xlpm.champ,suivi[membre.prive.utilisation_image],
_xlpm.liste_unique,IFERROR(_xlfn.UNIQUE(_xlfn._xlws.FILTER(_xlpm.champ,(suivi['#support.saison_en_cours]=1)*(_xlpm.champ&lt;&gt;"")*(suivi[membre.id]=annuaire[[#This Row],[id]]))),""),
INDEX(_xlpm.liste_unique,ROWS(_xlpm.liste_unique)))</f>
        <v/>
      </c>
      <c r="AD16" t="str">
        <f ca="1">IF(OR(annuaire[[#This Row],[saison.cotis]]=1,annuaire[[#This Row],[stats.der_activite]]&gt;EDATE(TODAY(),-12)),1,"")</f>
        <v/>
      </c>
      <c r="AE16" s="7" t="str">
        <f>IF(annuaire[[#This Row],[saison.presence]]=0,"",IF(annuaire[[#This Row],[saison.cotis]]=1," ", annuaire[[#This Row],[saison.presence]]))</f>
        <v/>
      </c>
      <c r="AF16" t="str">
        <f>IF(annuaire[[#This Row],[pseudo_discord]]="","",MATCH(annuaire[[#This Row],[pseudo_discord]],#REF!,0))</f>
        <v/>
      </c>
    </row>
    <row r="17" spans="1:32" x14ac:dyDescent="0.25">
      <c r="A17" s="10">
        <v>16</v>
      </c>
      <c r="B17" s="1">
        <f>_xlfn.MINIFS(suivi[date],suivi[membre.id],annuaire[[#This Row],[id]])</f>
        <v>0</v>
      </c>
      <c r="C17" t="str" cm="1">
        <f t="array" ref="C17">_xlfn.LET(_xlpm.champ,suivi[membre.prive.nom],
_xlpm.liste_unique,IFERROR(_xlfn.UNIQUE(_xlfn._xlws.FILTER(_xlpm.champ,(_xlpm.champ&lt;&gt;"")*(suivi[membre.id]=annuaire[[#This Row],[id]]))),""),
INDEX(_xlpm.liste_unique,ROWS(_xlpm.liste_unique)))</f>
        <v/>
      </c>
      <c r="D17" t="str" cm="1">
        <f t="array" ref="D17">_xlfn.LET(_xlpm.champ,suivi[membre.prive.prenom],
_xlpm.liste_unique,IFERROR(_xlfn.UNIQUE(_xlfn._xlws.FILTER(_xlpm.champ,(_xlpm.champ&lt;&gt;"")*(suivi[membre.id]=annuaire[[#This Row],[id]]))),""),
INDEX(_xlpm.liste_unique,ROWS(_xlpm.liste_unique)))</f>
        <v/>
      </c>
      <c r="E17" s="1" t="str" cm="1">
        <f t="array" ref="E17">_xlfn.LET(_xlpm.champ,suivi[membre.prive.date_naissance],
_xlpm.liste_unique,IFERROR(_xlfn.UNIQUE(_xlfn._xlws.FILTER(_xlpm.champ,(_xlpm.champ&lt;&gt;"")*(suivi[membre.id]=annuaire[[#This Row],[id]]))),""),
INDEX(_xlpm.liste_unique,ROWS(_xlpm.liste_unique)))</f>
        <v/>
      </c>
      <c r="F17" s="3" t="str" cm="1">
        <f t="array" ref="F17">_xlfn.LET(_xlpm.champ,suivi[membre.prive.'[emails']],
_xlpm.liste_unique,IFERROR(_xlfn.UNIQUE(_xlfn._xlws.FILTER(_xlpm.champ,(_xlpm.champ&lt;&gt;"")*(suivi[membre.id]=annuaire[[#This Row],[id]]))),""),
INDEX(_xlpm.liste_unique,ROWS(_xlpm.liste_unique)))</f>
        <v/>
      </c>
      <c r="G17" t="str" cm="1">
        <f t="array" ref="G17">_xlfn.LET(_xlpm.champ,suivi[membre.prive.'[telephone']],
_xlpm.liste_unique,IFERROR(_xlfn.UNIQUE(_xlfn._xlws.FILTER(_xlpm.champ,(_xlpm.champ&lt;&gt;"")*(suivi[membre.id]=annuaire[[#This Row],[id]]))),""),
INDEX(_xlpm.liste_unique,ROWS(_xlpm.liste_unique)))</f>
        <v/>
      </c>
      <c r="H17" t="str" cm="1">
        <f t="array" ref="H17">_xlfn.LET(_xlpm.champ,suivi[membre.prive.adresse.numero],
_xlpm.liste_unique,IFERROR(_xlfn.UNIQUE(_xlfn._xlws.FILTER(_xlpm.champ,(_xlpm.champ&lt;&gt;"")*(suivi[membre.id]=annuaire[[#This Row],[id]]))),""),
INDEX(_xlpm.liste_unique,ROWS(_xlpm.liste_unique)))</f>
        <v/>
      </c>
      <c r="I17" s="2" t="str" cm="1">
        <f t="array" ref="I17">_xlfn.LET(_xlpm.champ,suivi[membre.prive.adresse.type_voie],
_xlpm.liste_unique,IFERROR(_xlfn.UNIQUE(_xlfn._xlws.FILTER(_xlpm.champ,(_xlpm.champ&lt;&gt;"")*(suivi[membre.id]=annuaire[[#This Row],[id]]))),""),
INDEX(_xlpm.liste_unique,ROWS(_xlpm.liste_unique)))</f>
        <v/>
      </c>
      <c r="J17" t="str" cm="1">
        <f t="array" ref="J17">_xlfn.LET(_xlpm.champ,suivi[membre.prive.adresse.nom_voie],
_xlpm.liste_unique,IFERROR(_xlfn.UNIQUE(_xlfn._xlws.FILTER(_xlpm.champ,(_xlpm.champ&lt;&gt;"")*(suivi[membre.id]=annuaire[[#This Row],[id]]))),""),
INDEX(_xlpm.liste_unique,ROWS(_xlpm.liste_unique)))</f>
        <v/>
      </c>
      <c r="K17" t="str" cm="1">
        <f t="array" ref="K17">_xlfn.LET(_xlpm.champ,suivi[membre.prive.adresse.autre],
_xlpm.liste_unique,IFERROR(_xlfn.UNIQUE(_xlfn._xlws.FILTER(_xlpm.champ,(_xlpm.champ&lt;&gt;"")*(suivi[membre.id]=annuaire[[#This Row],[id]]))),""),
INDEX(_xlpm.liste_unique,ROWS(_xlpm.liste_unique)))</f>
        <v/>
      </c>
      <c r="L17" t="str" cm="1">
        <f t="array" ref="L17">_xlfn.LET(_xlpm.champ,suivi[membre.prive.adresse.cp],
_xlpm.liste_unique,IFERROR(_xlfn.UNIQUE(_xlfn._xlws.FILTER(_xlpm.champ,(_xlpm.champ&lt;&gt;"")*(suivi[membre.id]=annuaire[[#This Row],[id]]))),""),
INDEX(_xlpm.liste_unique,ROWS(_xlpm.liste_unique)))</f>
        <v/>
      </c>
      <c r="M17" s="5" t="str" cm="1">
        <f t="array" ref="M17">_xlfn.LET(_xlpm.champ,suivi[membre.prive.adresse.ville],
_xlpm.liste_unique,IFERROR(_xlfn.UNIQUE(_xlfn._xlws.FILTER(_xlpm.champ,(_xlpm.champ&lt;&gt;"")*(suivi[membre.id]=annuaire[[#This Row],[id]]))),""),
INDEX(_xlpm.liste_unique,ROWS(_xlpm.liste_unique)))</f>
        <v/>
      </c>
      <c r="N17" t="str" cm="1">
        <f t="array" ref="N17">_xlfn.LET(_xlpm.champ,suivi[membre.prive.pseudo_discord],
_xlpm.liste_unique,IFERROR(_xlfn.UNIQUE(_xlfn._xlws.FILTER(_xlpm.champ,(_xlpm.champ&lt;&gt;"")*(suivi[membre.id]=annuaire[[#This Row],[id]]))),""),
INDEX(_xlpm.liste_unique,ROWS(_xlpm.liste_unique)))</f>
        <v/>
      </c>
      <c r="O17" t="str" cm="1">
        <f t="array" ref="O17">_xlfn.LET(_xlpm.champ,suivi[membre.source_connaissance],
_xlpm.liste_unique,IFERROR(_xlfn.UNIQUE(_xlfn._xlws.FILTER(_xlpm.champ,(_xlpm.champ&lt;&gt;"")*(suivi[membre.id]=annuaire[[#This Row],[id]]))),""),
INDEX(_xlpm.liste_unique,ROWS(_xlpm.liste_unique)))</f>
        <v/>
      </c>
      <c r="P17" t="str">
        <f>IF(annuaire[[#This Row],[nom]]&lt;&gt;"",PROPER(annuaire[[#This Row],[nom]])&amp;IF(annuaire[[#This Row],[prenom]]&lt;&gt;""," "&amp;PROPER(annuaire[[#This Row],[prenom]]),""),
IF(annuaire[[#This Row],[pseudo_discord]]&lt;&gt;"","[discord] "&amp;annuaire[[#This Row],[pseudo_discord]]&amp;IF(annuaire[[#This Row],[prenom]]&lt;&gt;""," ("&amp;PROPER(annuaire[[#This Row],[prenom]])&amp;")",""),
IF(annuaire[[#This Row],[emails]]&lt;&gt;"","[email] "&amp;annuaire[[#This Row],[emails]]&amp;IF(annuaire[[#This Row],[prenom]]&lt;&gt;""," ("&amp;PROPER(annuaire[[#This Row],[prenom]])&amp;")",""),
IF(annuaire[[#This Row],[prenom]]&lt;&gt;"",PROPER(annuaire[[#This Row],[prenom]]),"AJ-"&amp;TEXT(annuaire[[#This Row],[id]],"00000")))))</f>
        <v>AJ-00016</v>
      </c>
      <c r="Q17" s="8">
        <f>COUNTIFS(suivi[entree.categorie],cotisation,suivi[membre.id],annuaire[[#This Row],[id]])</f>
        <v>0</v>
      </c>
      <c r="R17" s="9" t="str">
        <f>_xlfn.LET(_xlpm.der_pres,_xlfn.MINIFS(suivi[date],suivi[entree.categorie],cotisation,suivi[membre.id],annuaire[[#This Row],[id]]),
IF(_xlpm.der_pres=0,"",_xlpm.der_pres))</f>
        <v/>
      </c>
      <c r="S17" s="9" t="str">
        <f>_xlfn.LET(_xlpm.der_pres,_xlfn.MAXIFS(suivi[date],suivi[entree.categorie],cotisation,suivi[membre.id],annuaire[[#This Row],[id]]),
IF(_xlpm.der_pres=0,"",_xlpm.der_pres))</f>
        <v/>
      </c>
      <c r="T17" s="8">
        <f>COUNTIFS(suivi[entree.categorie],presence,suivi[membre.id],annuaire[[#This Row],[id]])</f>
        <v>0</v>
      </c>
      <c r="U17" s="9">
        <f>_xlfn.MAXIFS(suivi[date],suivi[membre.id],annuaire[[#This Row],[id]])</f>
        <v>0</v>
      </c>
      <c r="V17" s="8">
        <f>COUNTIFS(suivi[entree.categorie],presence,suivi[membre.id],annuaire[[#This Row],[id]],suivi['#support.saison_en_cours],1)</f>
        <v>0</v>
      </c>
      <c r="W17" s="8">
        <f>IF(COUNTIFS(suivi[entree.categorie],cotisation,suivi[membre.id],annuaire[[#This Row],[id]],suivi['#support.saison_en_cours],1)&gt;0,1,0)</f>
        <v>0</v>
      </c>
      <c r="X17" t="b">
        <f ca="1">IF(annuaire[[#This Row],[stats.cotis.derniere]]="",FALSE,
_xlfn.LET(
_xlpm.derniere_cotis_nb_mois,ROUNDDOWN((saison_debut-annuaire[[#This Row],[stats.cotis.derniere]])/30,1),
_xlpm.derniere_cotis_saison_precedente,AND(_xlpm.derniere_cotis_nb_mois&gt;0,_xlpm.derniere_cotis_nb_mois&lt;13),
_xlpm.nouvelle_saison_depuismoins2mois,(TODAY()-saison_debut)/30&lt;3,
AND(_xlpm.derniere_cotis_saison_precedente,_xlpm.nouvelle_saison_depuismoins2mois)
)
)</f>
        <v>0</v>
      </c>
      <c r="Y17" t="str" cm="1">
        <f t="array" ref="Y17">IFERROR(_xlfn.LET(_xlpm.filtre_table_suivi_saison_role,(suivi[membre.asso_role]&lt;&gt;"")*(suivi['#support.saison_en_cours]=1),
                                             _xlpm.nomination_saison_id,_xlfn._xlws.FILTER(suivi[membre.id],_xlpm.filtre_table_suivi_saison_role),
                                             _xlpm.nomination_saison_role,_xlfn._xlws.FILTER(suivi[membre.asso_role],_xlpm.filtre_table_suivi_saison_role),
                                             INDEX(_xlpm.nomination_saison_role,MATCH(annuaire[[#This Row],[id]],_xlpm.nomination_saison_id,0))),
                                         "")</f>
        <v/>
      </c>
      <c r="Z17" t="str">
        <f ca="1">IF(annuaire[[#This Row],[saison.asso_role_manuel]]&lt;&gt;"",annuaire[[#This Row],[saison.asso_role_manuel]],
IF(annuaire[[#This Row],[saison.cotis]]&gt;0,cotisant,
IF(annuaire[[#This Row],[saison.precedente]],cotisant_saison_prec,
"")))</f>
        <v/>
      </c>
      <c r="AA17" t="str" cm="1">
        <f t="array" ref="AA17">_xlfn.LET(_xlpm.champ,suivi[membre.prive.approbation_statuts],
_xlpm.liste_unique,IFERROR(_xlfn.UNIQUE(_xlfn._xlws.FILTER(_xlpm.champ,(suivi['#support.saison_en_cours]=1)*(_xlpm.champ&lt;&gt;"")*(suivi[membre.id]=annuaire[[#This Row],[id]]))),""),
INDEX(_xlpm.liste_unique,ROWS(_xlpm.liste_unique)))</f>
        <v/>
      </c>
      <c r="AB17" t="str" cm="1">
        <f t="array" ref="AB17">_xlfn.LET(_xlpm.champ,suivi[membre.prive.assurance_resp_civile],
_xlpm.liste_unique,IFERROR(_xlfn.UNIQUE(_xlfn._xlws.FILTER(_xlpm.champ,(suivi['#support.saison_en_cours]=1)*(_xlpm.champ&lt;&gt;"")*(suivi[membre.id]=annuaire[[#This Row],[id]]))),""),
INDEX(_xlpm.liste_unique,ROWS(_xlpm.liste_unique)))</f>
        <v/>
      </c>
      <c r="AC17" t="str" cm="1">
        <f t="array" ref="AC17">_xlfn.LET(_xlpm.champ,suivi[membre.prive.utilisation_image],
_xlpm.liste_unique,IFERROR(_xlfn.UNIQUE(_xlfn._xlws.FILTER(_xlpm.champ,(suivi['#support.saison_en_cours]=1)*(_xlpm.champ&lt;&gt;"")*(suivi[membre.id]=annuaire[[#This Row],[id]]))),""),
INDEX(_xlpm.liste_unique,ROWS(_xlpm.liste_unique)))</f>
        <v/>
      </c>
      <c r="AD17" t="str">
        <f ca="1">IF(OR(annuaire[[#This Row],[saison.cotis]]=1,annuaire[[#This Row],[stats.der_activite]]&gt;EDATE(TODAY(),-12)),1,"")</f>
        <v/>
      </c>
      <c r="AE17" s="7" t="str">
        <f>IF(annuaire[[#This Row],[saison.presence]]=0,"",IF(annuaire[[#This Row],[saison.cotis]]=1," ", annuaire[[#This Row],[saison.presence]]))</f>
        <v/>
      </c>
      <c r="AF17" t="str">
        <f>IF(annuaire[[#This Row],[pseudo_discord]]="","",MATCH(annuaire[[#This Row],[pseudo_discord]],#REF!,0))</f>
        <v/>
      </c>
    </row>
    <row r="18" spans="1:32" x14ac:dyDescent="0.25">
      <c r="A18" s="10">
        <v>17</v>
      </c>
      <c r="B18" s="1">
        <f>_xlfn.MINIFS(suivi[date],suivi[membre.id],annuaire[[#This Row],[id]])</f>
        <v>0</v>
      </c>
      <c r="C18" t="str" cm="1">
        <f t="array" ref="C18">_xlfn.LET(_xlpm.champ,suivi[membre.prive.nom],
_xlpm.liste_unique,IFERROR(_xlfn.UNIQUE(_xlfn._xlws.FILTER(_xlpm.champ,(_xlpm.champ&lt;&gt;"")*(suivi[membre.id]=annuaire[[#This Row],[id]]))),""),
INDEX(_xlpm.liste_unique,ROWS(_xlpm.liste_unique)))</f>
        <v/>
      </c>
      <c r="D18" t="str" cm="1">
        <f t="array" ref="D18">_xlfn.LET(_xlpm.champ,suivi[membre.prive.prenom],
_xlpm.liste_unique,IFERROR(_xlfn.UNIQUE(_xlfn._xlws.FILTER(_xlpm.champ,(_xlpm.champ&lt;&gt;"")*(suivi[membre.id]=annuaire[[#This Row],[id]]))),""),
INDEX(_xlpm.liste_unique,ROWS(_xlpm.liste_unique)))</f>
        <v/>
      </c>
      <c r="E18" s="1" t="str" cm="1">
        <f t="array" ref="E18">_xlfn.LET(_xlpm.champ,suivi[membre.prive.date_naissance],
_xlpm.liste_unique,IFERROR(_xlfn.UNIQUE(_xlfn._xlws.FILTER(_xlpm.champ,(_xlpm.champ&lt;&gt;"")*(suivi[membre.id]=annuaire[[#This Row],[id]]))),""),
INDEX(_xlpm.liste_unique,ROWS(_xlpm.liste_unique)))</f>
        <v/>
      </c>
      <c r="F18" s="3" t="str" cm="1">
        <f t="array" ref="F18">_xlfn.LET(_xlpm.champ,suivi[membre.prive.'[emails']],
_xlpm.liste_unique,IFERROR(_xlfn.UNIQUE(_xlfn._xlws.FILTER(_xlpm.champ,(_xlpm.champ&lt;&gt;"")*(suivi[membre.id]=annuaire[[#This Row],[id]]))),""),
INDEX(_xlpm.liste_unique,ROWS(_xlpm.liste_unique)))</f>
        <v/>
      </c>
      <c r="G18" t="str" cm="1">
        <f t="array" ref="G18">_xlfn.LET(_xlpm.champ,suivi[membre.prive.'[telephone']],
_xlpm.liste_unique,IFERROR(_xlfn.UNIQUE(_xlfn._xlws.FILTER(_xlpm.champ,(_xlpm.champ&lt;&gt;"")*(suivi[membre.id]=annuaire[[#This Row],[id]]))),""),
INDEX(_xlpm.liste_unique,ROWS(_xlpm.liste_unique)))</f>
        <v/>
      </c>
      <c r="H18" t="str" cm="1">
        <f t="array" ref="H18">_xlfn.LET(_xlpm.champ,suivi[membre.prive.adresse.numero],
_xlpm.liste_unique,IFERROR(_xlfn.UNIQUE(_xlfn._xlws.FILTER(_xlpm.champ,(_xlpm.champ&lt;&gt;"")*(suivi[membre.id]=annuaire[[#This Row],[id]]))),""),
INDEX(_xlpm.liste_unique,ROWS(_xlpm.liste_unique)))</f>
        <v/>
      </c>
      <c r="I18" t="str" cm="1">
        <f t="array" ref="I18">_xlfn.LET(_xlpm.champ,suivi[membre.prive.adresse.type_voie],
_xlpm.liste_unique,IFERROR(_xlfn.UNIQUE(_xlfn._xlws.FILTER(_xlpm.champ,(_xlpm.champ&lt;&gt;"")*(suivi[membre.id]=annuaire[[#This Row],[id]]))),""),
INDEX(_xlpm.liste_unique,ROWS(_xlpm.liste_unique)))</f>
        <v/>
      </c>
      <c r="J18" t="str" cm="1">
        <f t="array" ref="J18">_xlfn.LET(_xlpm.champ,suivi[membre.prive.adresse.nom_voie],
_xlpm.liste_unique,IFERROR(_xlfn.UNIQUE(_xlfn._xlws.FILTER(_xlpm.champ,(_xlpm.champ&lt;&gt;"")*(suivi[membre.id]=annuaire[[#This Row],[id]]))),""),
INDEX(_xlpm.liste_unique,ROWS(_xlpm.liste_unique)))</f>
        <v/>
      </c>
      <c r="K18" t="str" cm="1">
        <f t="array" ref="K18">_xlfn.LET(_xlpm.champ,suivi[membre.prive.adresse.autre],
_xlpm.liste_unique,IFERROR(_xlfn.UNIQUE(_xlfn._xlws.FILTER(_xlpm.champ,(_xlpm.champ&lt;&gt;"")*(suivi[membre.id]=annuaire[[#This Row],[id]]))),""),
INDEX(_xlpm.liste_unique,ROWS(_xlpm.liste_unique)))</f>
        <v/>
      </c>
      <c r="L18" t="str" cm="1">
        <f t="array" ref="L18">_xlfn.LET(_xlpm.champ,suivi[membre.prive.adresse.cp],
_xlpm.liste_unique,IFERROR(_xlfn.UNIQUE(_xlfn._xlws.FILTER(_xlpm.champ,(_xlpm.champ&lt;&gt;"")*(suivi[membre.id]=annuaire[[#This Row],[id]]))),""),
INDEX(_xlpm.liste_unique,ROWS(_xlpm.liste_unique)))</f>
        <v/>
      </c>
      <c r="M18" s="5" t="str" cm="1">
        <f t="array" ref="M18">_xlfn.LET(_xlpm.champ,suivi[membre.prive.adresse.ville],
_xlpm.liste_unique,IFERROR(_xlfn.UNIQUE(_xlfn._xlws.FILTER(_xlpm.champ,(_xlpm.champ&lt;&gt;"")*(suivi[membre.id]=annuaire[[#This Row],[id]]))),""),
INDEX(_xlpm.liste_unique,ROWS(_xlpm.liste_unique)))</f>
        <v/>
      </c>
      <c r="N18" t="str" cm="1">
        <f t="array" ref="N18">_xlfn.LET(_xlpm.champ,suivi[membre.prive.pseudo_discord],
_xlpm.liste_unique,IFERROR(_xlfn.UNIQUE(_xlfn._xlws.FILTER(_xlpm.champ,(_xlpm.champ&lt;&gt;"")*(suivi[membre.id]=annuaire[[#This Row],[id]]))),""),
INDEX(_xlpm.liste_unique,ROWS(_xlpm.liste_unique)))</f>
        <v/>
      </c>
      <c r="O18" t="str" cm="1">
        <f t="array" ref="O18">_xlfn.LET(_xlpm.champ,suivi[membre.source_connaissance],
_xlpm.liste_unique,IFERROR(_xlfn.UNIQUE(_xlfn._xlws.FILTER(_xlpm.champ,(_xlpm.champ&lt;&gt;"")*(suivi[membre.id]=annuaire[[#This Row],[id]]))),""),
INDEX(_xlpm.liste_unique,ROWS(_xlpm.liste_unique)))</f>
        <v/>
      </c>
      <c r="P18" t="str">
        <f>IF(annuaire[[#This Row],[nom]]&lt;&gt;"",PROPER(annuaire[[#This Row],[nom]])&amp;IF(annuaire[[#This Row],[prenom]]&lt;&gt;""," "&amp;PROPER(annuaire[[#This Row],[prenom]]),""),
IF(annuaire[[#This Row],[pseudo_discord]]&lt;&gt;"","[discord] "&amp;annuaire[[#This Row],[pseudo_discord]]&amp;IF(annuaire[[#This Row],[prenom]]&lt;&gt;""," ("&amp;PROPER(annuaire[[#This Row],[prenom]])&amp;")",""),
IF(annuaire[[#This Row],[emails]]&lt;&gt;"","[email] "&amp;annuaire[[#This Row],[emails]]&amp;IF(annuaire[[#This Row],[prenom]]&lt;&gt;""," ("&amp;PROPER(annuaire[[#This Row],[prenom]])&amp;")",""),
IF(annuaire[[#This Row],[prenom]]&lt;&gt;"",PROPER(annuaire[[#This Row],[prenom]]),"AJ-"&amp;TEXT(annuaire[[#This Row],[id]],"00000")))))</f>
        <v>AJ-00017</v>
      </c>
      <c r="Q18" s="8">
        <f>COUNTIFS(suivi[entree.categorie],cotisation,suivi[membre.id],annuaire[[#This Row],[id]])</f>
        <v>0</v>
      </c>
      <c r="R18" s="9" t="str">
        <f>_xlfn.LET(_xlpm.der_pres,_xlfn.MINIFS(suivi[date],suivi[entree.categorie],cotisation,suivi[membre.id],annuaire[[#This Row],[id]]),
IF(_xlpm.der_pres=0,"",_xlpm.der_pres))</f>
        <v/>
      </c>
      <c r="S18" s="9" t="str">
        <f>_xlfn.LET(_xlpm.der_pres,_xlfn.MAXIFS(suivi[date],suivi[entree.categorie],cotisation,suivi[membre.id],annuaire[[#This Row],[id]]),
IF(_xlpm.der_pres=0,"",_xlpm.der_pres))</f>
        <v/>
      </c>
      <c r="T18" s="8">
        <f>COUNTIFS(suivi[entree.categorie],presence,suivi[membre.id],annuaire[[#This Row],[id]])</f>
        <v>0</v>
      </c>
      <c r="U18" s="9">
        <f>_xlfn.MAXIFS(suivi[date],suivi[membre.id],annuaire[[#This Row],[id]])</f>
        <v>0</v>
      </c>
      <c r="V18" s="8">
        <f>COUNTIFS(suivi[entree.categorie],presence,suivi[membre.id],annuaire[[#This Row],[id]],suivi['#support.saison_en_cours],1)</f>
        <v>0</v>
      </c>
      <c r="W18" s="8">
        <f>IF(COUNTIFS(suivi[entree.categorie],cotisation,suivi[membre.id],annuaire[[#This Row],[id]],suivi['#support.saison_en_cours],1)&gt;0,1,0)</f>
        <v>0</v>
      </c>
      <c r="X18" t="b">
        <f ca="1">IF(annuaire[[#This Row],[stats.cotis.derniere]]="",FALSE,
_xlfn.LET(
_xlpm.derniere_cotis_nb_mois,ROUNDDOWN((saison_debut-annuaire[[#This Row],[stats.cotis.derniere]])/30,1),
_xlpm.derniere_cotis_saison_precedente,AND(_xlpm.derniere_cotis_nb_mois&gt;0,_xlpm.derniere_cotis_nb_mois&lt;13),
_xlpm.nouvelle_saison_depuismoins2mois,(TODAY()-saison_debut)/30&lt;3,
AND(_xlpm.derniere_cotis_saison_precedente,_xlpm.nouvelle_saison_depuismoins2mois)
)
)</f>
        <v>0</v>
      </c>
      <c r="Y18" t="str" cm="1">
        <f t="array" ref="Y18">IFERROR(_xlfn.LET(_xlpm.filtre_table_suivi_saison_role,(suivi[membre.asso_role]&lt;&gt;"")*(suivi['#support.saison_en_cours]=1),
                                             _xlpm.nomination_saison_id,_xlfn._xlws.FILTER(suivi[membre.id],_xlpm.filtre_table_suivi_saison_role),
                                             _xlpm.nomination_saison_role,_xlfn._xlws.FILTER(suivi[membre.asso_role],_xlpm.filtre_table_suivi_saison_role),
                                             INDEX(_xlpm.nomination_saison_role,MATCH(annuaire[[#This Row],[id]],_xlpm.nomination_saison_id,0))),
                                         "")</f>
        <v/>
      </c>
      <c r="Z18" t="str">
        <f ca="1">IF(annuaire[[#This Row],[saison.asso_role_manuel]]&lt;&gt;"",annuaire[[#This Row],[saison.asso_role_manuel]],
IF(annuaire[[#This Row],[saison.cotis]]&gt;0,cotisant,
IF(annuaire[[#This Row],[saison.precedente]],cotisant_saison_prec,
"")))</f>
        <v/>
      </c>
      <c r="AA18" t="str" cm="1">
        <f t="array" ref="AA18">_xlfn.LET(_xlpm.champ,suivi[membre.prive.approbation_statuts],
_xlpm.liste_unique,IFERROR(_xlfn.UNIQUE(_xlfn._xlws.FILTER(_xlpm.champ,(suivi['#support.saison_en_cours]=1)*(_xlpm.champ&lt;&gt;"")*(suivi[membre.id]=annuaire[[#This Row],[id]]))),""),
INDEX(_xlpm.liste_unique,ROWS(_xlpm.liste_unique)))</f>
        <v/>
      </c>
      <c r="AB18" t="str" cm="1">
        <f t="array" ref="AB18">_xlfn.LET(_xlpm.champ,suivi[membre.prive.assurance_resp_civile],
_xlpm.liste_unique,IFERROR(_xlfn.UNIQUE(_xlfn._xlws.FILTER(_xlpm.champ,(suivi['#support.saison_en_cours]=1)*(_xlpm.champ&lt;&gt;"")*(suivi[membre.id]=annuaire[[#This Row],[id]]))),""),
INDEX(_xlpm.liste_unique,ROWS(_xlpm.liste_unique)))</f>
        <v/>
      </c>
      <c r="AC18" t="str" cm="1">
        <f t="array" ref="AC18">_xlfn.LET(_xlpm.champ,suivi[membre.prive.utilisation_image],
_xlpm.liste_unique,IFERROR(_xlfn.UNIQUE(_xlfn._xlws.FILTER(_xlpm.champ,(suivi['#support.saison_en_cours]=1)*(_xlpm.champ&lt;&gt;"")*(suivi[membre.id]=annuaire[[#This Row],[id]]))),""),
INDEX(_xlpm.liste_unique,ROWS(_xlpm.liste_unique)))</f>
        <v/>
      </c>
      <c r="AD18" t="str">
        <f ca="1">IF(OR(annuaire[[#This Row],[saison.cotis]]=1,annuaire[[#This Row],[stats.der_activite]]&gt;EDATE(TODAY(),-12)),1,"")</f>
        <v/>
      </c>
      <c r="AE18" s="7" t="str">
        <f>IF(annuaire[[#This Row],[saison.presence]]=0,"",IF(annuaire[[#This Row],[saison.cotis]]=1," ", annuaire[[#This Row],[saison.presence]]))</f>
        <v/>
      </c>
      <c r="AF18" t="str">
        <f>IF(annuaire[[#This Row],[pseudo_discord]]="","",MATCH(annuaire[[#This Row],[pseudo_discord]],#REF!,0))</f>
        <v/>
      </c>
    </row>
    <row r="19" spans="1:32" x14ac:dyDescent="0.25">
      <c r="A19" s="10">
        <v>18</v>
      </c>
      <c r="B19" s="1">
        <f>_xlfn.MINIFS(suivi[date],suivi[membre.id],annuaire[[#This Row],[id]])</f>
        <v>0</v>
      </c>
      <c r="C19" t="str" cm="1">
        <f t="array" ref="C19">_xlfn.LET(_xlpm.champ,suivi[membre.prive.nom],
_xlpm.liste_unique,IFERROR(_xlfn.UNIQUE(_xlfn._xlws.FILTER(_xlpm.champ,(_xlpm.champ&lt;&gt;"")*(suivi[membre.id]=annuaire[[#This Row],[id]]))),""),
INDEX(_xlpm.liste_unique,ROWS(_xlpm.liste_unique)))</f>
        <v/>
      </c>
      <c r="D19" t="str" cm="1">
        <f t="array" ref="D19">_xlfn.LET(_xlpm.champ,suivi[membre.prive.prenom],
_xlpm.liste_unique,IFERROR(_xlfn.UNIQUE(_xlfn._xlws.FILTER(_xlpm.champ,(_xlpm.champ&lt;&gt;"")*(suivi[membre.id]=annuaire[[#This Row],[id]]))),""),
INDEX(_xlpm.liste_unique,ROWS(_xlpm.liste_unique)))</f>
        <v/>
      </c>
      <c r="E19" s="1" t="str" cm="1">
        <f t="array" ref="E19">_xlfn.LET(_xlpm.champ,suivi[membre.prive.date_naissance],
_xlpm.liste_unique,IFERROR(_xlfn.UNIQUE(_xlfn._xlws.FILTER(_xlpm.champ,(_xlpm.champ&lt;&gt;"")*(suivi[membre.id]=annuaire[[#This Row],[id]]))),""),
INDEX(_xlpm.liste_unique,ROWS(_xlpm.liste_unique)))</f>
        <v/>
      </c>
      <c r="F19" s="3" t="str" cm="1">
        <f t="array" ref="F19">_xlfn.LET(_xlpm.champ,suivi[membre.prive.'[emails']],
_xlpm.liste_unique,IFERROR(_xlfn.UNIQUE(_xlfn._xlws.FILTER(_xlpm.champ,(_xlpm.champ&lt;&gt;"")*(suivi[membre.id]=annuaire[[#This Row],[id]]))),""),
INDEX(_xlpm.liste_unique,ROWS(_xlpm.liste_unique)))</f>
        <v/>
      </c>
      <c r="G19" t="str" cm="1">
        <f t="array" ref="G19">_xlfn.LET(_xlpm.champ,suivi[membre.prive.'[telephone']],
_xlpm.liste_unique,IFERROR(_xlfn.UNIQUE(_xlfn._xlws.FILTER(_xlpm.champ,(_xlpm.champ&lt;&gt;"")*(suivi[membre.id]=annuaire[[#This Row],[id]]))),""),
INDEX(_xlpm.liste_unique,ROWS(_xlpm.liste_unique)))</f>
        <v/>
      </c>
      <c r="H19" t="str" cm="1">
        <f t="array" ref="H19">_xlfn.LET(_xlpm.champ,suivi[membre.prive.adresse.numero],
_xlpm.liste_unique,IFERROR(_xlfn.UNIQUE(_xlfn._xlws.FILTER(_xlpm.champ,(_xlpm.champ&lt;&gt;"")*(suivi[membre.id]=annuaire[[#This Row],[id]]))),""),
INDEX(_xlpm.liste_unique,ROWS(_xlpm.liste_unique)))</f>
        <v/>
      </c>
      <c r="I19" t="str" cm="1">
        <f t="array" ref="I19">_xlfn.LET(_xlpm.champ,suivi[membre.prive.adresse.type_voie],
_xlpm.liste_unique,IFERROR(_xlfn.UNIQUE(_xlfn._xlws.FILTER(_xlpm.champ,(_xlpm.champ&lt;&gt;"")*(suivi[membre.id]=annuaire[[#This Row],[id]]))),""),
INDEX(_xlpm.liste_unique,ROWS(_xlpm.liste_unique)))</f>
        <v/>
      </c>
      <c r="J19" t="str" cm="1">
        <f t="array" ref="J19">_xlfn.LET(_xlpm.champ,suivi[membre.prive.adresse.nom_voie],
_xlpm.liste_unique,IFERROR(_xlfn.UNIQUE(_xlfn._xlws.FILTER(_xlpm.champ,(_xlpm.champ&lt;&gt;"")*(suivi[membre.id]=annuaire[[#This Row],[id]]))),""),
INDEX(_xlpm.liste_unique,ROWS(_xlpm.liste_unique)))</f>
        <v/>
      </c>
      <c r="K19" t="str" cm="1">
        <f t="array" ref="K19">_xlfn.LET(_xlpm.champ,suivi[membre.prive.adresse.autre],
_xlpm.liste_unique,IFERROR(_xlfn.UNIQUE(_xlfn._xlws.FILTER(_xlpm.champ,(_xlpm.champ&lt;&gt;"")*(suivi[membre.id]=annuaire[[#This Row],[id]]))),""),
INDEX(_xlpm.liste_unique,ROWS(_xlpm.liste_unique)))</f>
        <v/>
      </c>
      <c r="L19" t="str" cm="1">
        <f t="array" ref="L19">_xlfn.LET(_xlpm.champ,suivi[membre.prive.adresse.cp],
_xlpm.liste_unique,IFERROR(_xlfn.UNIQUE(_xlfn._xlws.FILTER(_xlpm.champ,(_xlpm.champ&lt;&gt;"")*(suivi[membre.id]=annuaire[[#This Row],[id]]))),""),
INDEX(_xlpm.liste_unique,ROWS(_xlpm.liste_unique)))</f>
        <v/>
      </c>
      <c r="M19" s="5" t="str" cm="1">
        <f t="array" ref="M19">_xlfn.LET(_xlpm.champ,suivi[membre.prive.adresse.ville],
_xlpm.liste_unique,IFERROR(_xlfn.UNIQUE(_xlfn._xlws.FILTER(_xlpm.champ,(_xlpm.champ&lt;&gt;"")*(suivi[membre.id]=annuaire[[#This Row],[id]]))),""),
INDEX(_xlpm.liste_unique,ROWS(_xlpm.liste_unique)))</f>
        <v/>
      </c>
      <c r="N19" t="str" cm="1">
        <f t="array" ref="N19">_xlfn.LET(_xlpm.champ,suivi[membre.prive.pseudo_discord],
_xlpm.liste_unique,IFERROR(_xlfn.UNIQUE(_xlfn._xlws.FILTER(_xlpm.champ,(_xlpm.champ&lt;&gt;"")*(suivi[membre.id]=annuaire[[#This Row],[id]]))),""),
INDEX(_xlpm.liste_unique,ROWS(_xlpm.liste_unique)))</f>
        <v/>
      </c>
      <c r="O19" t="str" cm="1">
        <f t="array" ref="O19">_xlfn.LET(_xlpm.champ,suivi[membre.source_connaissance],
_xlpm.liste_unique,IFERROR(_xlfn.UNIQUE(_xlfn._xlws.FILTER(_xlpm.champ,(_xlpm.champ&lt;&gt;"")*(suivi[membre.id]=annuaire[[#This Row],[id]]))),""),
INDEX(_xlpm.liste_unique,ROWS(_xlpm.liste_unique)))</f>
        <v/>
      </c>
      <c r="P19" t="str">
        <f>IF(annuaire[[#This Row],[nom]]&lt;&gt;"",PROPER(annuaire[[#This Row],[nom]])&amp;IF(annuaire[[#This Row],[prenom]]&lt;&gt;""," "&amp;PROPER(annuaire[[#This Row],[prenom]]),""),
IF(annuaire[[#This Row],[pseudo_discord]]&lt;&gt;"","[discord] "&amp;annuaire[[#This Row],[pseudo_discord]]&amp;IF(annuaire[[#This Row],[prenom]]&lt;&gt;""," ("&amp;PROPER(annuaire[[#This Row],[prenom]])&amp;")",""),
IF(annuaire[[#This Row],[emails]]&lt;&gt;"","[email] "&amp;annuaire[[#This Row],[emails]]&amp;IF(annuaire[[#This Row],[prenom]]&lt;&gt;""," ("&amp;PROPER(annuaire[[#This Row],[prenom]])&amp;")",""),
IF(annuaire[[#This Row],[prenom]]&lt;&gt;"",PROPER(annuaire[[#This Row],[prenom]]),"AJ-"&amp;TEXT(annuaire[[#This Row],[id]],"00000")))))</f>
        <v>AJ-00018</v>
      </c>
      <c r="Q19" s="8">
        <f>COUNTIFS(suivi[entree.categorie],cotisation,suivi[membre.id],annuaire[[#This Row],[id]])</f>
        <v>0</v>
      </c>
      <c r="R19" s="9" t="str">
        <f>_xlfn.LET(_xlpm.der_pres,_xlfn.MINIFS(suivi[date],suivi[entree.categorie],cotisation,suivi[membre.id],annuaire[[#This Row],[id]]),
IF(_xlpm.der_pres=0,"",_xlpm.der_pres))</f>
        <v/>
      </c>
      <c r="S19" s="9" t="str">
        <f>_xlfn.LET(_xlpm.der_pres,_xlfn.MAXIFS(suivi[date],suivi[entree.categorie],cotisation,suivi[membre.id],annuaire[[#This Row],[id]]),
IF(_xlpm.der_pres=0,"",_xlpm.der_pres))</f>
        <v/>
      </c>
      <c r="T19" s="8">
        <f>COUNTIFS(suivi[entree.categorie],presence,suivi[membre.id],annuaire[[#This Row],[id]])</f>
        <v>0</v>
      </c>
      <c r="U19" s="9">
        <f>_xlfn.MAXIFS(suivi[date],suivi[membre.id],annuaire[[#This Row],[id]])</f>
        <v>0</v>
      </c>
      <c r="V19" s="8">
        <f>COUNTIFS(suivi[entree.categorie],presence,suivi[membre.id],annuaire[[#This Row],[id]],suivi['#support.saison_en_cours],1)</f>
        <v>0</v>
      </c>
      <c r="W19" s="8">
        <f>IF(COUNTIFS(suivi[entree.categorie],cotisation,suivi[membre.id],annuaire[[#This Row],[id]],suivi['#support.saison_en_cours],1)&gt;0,1,0)</f>
        <v>0</v>
      </c>
      <c r="X19" t="b">
        <f ca="1">IF(annuaire[[#This Row],[stats.cotis.derniere]]="",FALSE,
_xlfn.LET(
_xlpm.derniere_cotis_nb_mois,ROUNDDOWN((saison_debut-annuaire[[#This Row],[stats.cotis.derniere]])/30,1),
_xlpm.derniere_cotis_saison_precedente,AND(_xlpm.derniere_cotis_nb_mois&gt;0,_xlpm.derniere_cotis_nb_mois&lt;13),
_xlpm.nouvelle_saison_depuismoins2mois,(TODAY()-saison_debut)/30&lt;3,
AND(_xlpm.derniere_cotis_saison_precedente,_xlpm.nouvelle_saison_depuismoins2mois)
)
)</f>
        <v>0</v>
      </c>
      <c r="Y19" t="str" cm="1">
        <f t="array" ref="Y19">IFERROR(_xlfn.LET(_xlpm.filtre_table_suivi_saison_role,(suivi[membre.asso_role]&lt;&gt;"")*(suivi['#support.saison_en_cours]=1),
                                             _xlpm.nomination_saison_id,_xlfn._xlws.FILTER(suivi[membre.id],_xlpm.filtre_table_suivi_saison_role),
                                             _xlpm.nomination_saison_role,_xlfn._xlws.FILTER(suivi[membre.asso_role],_xlpm.filtre_table_suivi_saison_role),
                                             INDEX(_xlpm.nomination_saison_role,MATCH(annuaire[[#This Row],[id]],_xlpm.nomination_saison_id,0))),
                                         "")</f>
        <v/>
      </c>
      <c r="Z19" t="str">
        <f ca="1">IF(annuaire[[#This Row],[saison.asso_role_manuel]]&lt;&gt;"",annuaire[[#This Row],[saison.asso_role_manuel]],
IF(annuaire[[#This Row],[saison.cotis]]&gt;0,cotisant,
IF(annuaire[[#This Row],[saison.precedente]],cotisant_saison_prec,
"")))</f>
        <v/>
      </c>
      <c r="AA19" t="str" cm="1">
        <f t="array" ref="AA19">_xlfn.LET(_xlpm.champ,suivi[membre.prive.approbation_statuts],
_xlpm.liste_unique,IFERROR(_xlfn.UNIQUE(_xlfn._xlws.FILTER(_xlpm.champ,(suivi['#support.saison_en_cours]=1)*(_xlpm.champ&lt;&gt;"")*(suivi[membre.id]=annuaire[[#This Row],[id]]))),""),
INDEX(_xlpm.liste_unique,ROWS(_xlpm.liste_unique)))</f>
        <v/>
      </c>
      <c r="AB19" t="str" cm="1">
        <f t="array" ref="AB19">_xlfn.LET(_xlpm.champ,suivi[membre.prive.assurance_resp_civile],
_xlpm.liste_unique,IFERROR(_xlfn.UNIQUE(_xlfn._xlws.FILTER(_xlpm.champ,(suivi['#support.saison_en_cours]=1)*(_xlpm.champ&lt;&gt;"")*(suivi[membre.id]=annuaire[[#This Row],[id]]))),""),
INDEX(_xlpm.liste_unique,ROWS(_xlpm.liste_unique)))</f>
        <v/>
      </c>
      <c r="AC19" t="str" cm="1">
        <f t="array" ref="AC19">_xlfn.LET(_xlpm.champ,suivi[membre.prive.utilisation_image],
_xlpm.liste_unique,IFERROR(_xlfn.UNIQUE(_xlfn._xlws.FILTER(_xlpm.champ,(suivi['#support.saison_en_cours]=1)*(_xlpm.champ&lt;&gt;"")*(suivi[membre.id]=annuaire[[#This Row],[id]]))),""),
INDEX(_xlpm.liste_unique,ROWS(_xlpm.liste_unique)))</f>
        <v/>
      </c>
      <c r="AD19" t="str">
        <f ca="1">IF(OR(annuaire[[#This Row],[saison.cotis]]=1,annuaire[[#This Row],[stats.der_activite]]&gt;EDATE(TODAY(),-12)),1,"")</f>
        <v/>
      </c>
      <c r="AE19" s="7" t="str">
        <f>IF(annuaire[[#This Row],[saison.presence]]=0,"",IF(annuaire[[#This Row],[saison.cotis]]=1," ", annuaire[[#This Row],[saison.presence]]))</f>
        <v/>
      </c>
      <c r="AF19" t="str">
        <f>IF(annuaire[[#This Row],[pseudo_discord]]="","",MATCH(annuaire[[#This Row],[pseudo_discord]],#REF!,0))</f>
        <v/>
      </c>
    </row>
    <row r="20" spans="1:32" x14ac:dyDescent="0.25">
      <c r="A20" s="10">
        <v>19</v>
      </c>
      <c r="B20" s="1">
        <f>_xlfn.MINIFS(suivi[date],suivi[membre.id],annuaire[[#This Row],[id]])</f>
        <v>0</v>
      </c>
      <c r="C20" t="str" cm="1">
        <f t="array" ref="C20">_xlfn.LET(_xlpm.champ,suivi[membre.prive.nom],
_xlpm.liste_unique,IFERROR(_xlfn.UNIQUE(_xlfn._xlws.FILTER(_xlpm.champ,(_xlpm.champ&lt;&gt;"")*(suivi[membre.id]=annuaire[[#This Row],[id]]))),""),
INDEX(_xlpm.liste_unique,ROWS(_xlpm.liste_unique)))</f>
        <v/>
      </c>
      <c r="D20" t="str" cm="1">
        <f t="array" ref="D20">_xlfn.LET(_xlpm.champ,suivi[membre.prive.prenom],
_xlpm.liste_unique,IFERROR(_xlfn.UNIQUE(_xlfn._xlws.FILTER(_xlpm.champ,(_xlpm.champ&lt;&gt;"")*(suivi[membre.id]=annuaire[[#This Row],[id]]))),""),
INDEX(_xlpm.liste_unique,ROWS(_xlpm.liste_unique)))</f>
        <v/>
      </c>
      <c r="E20" s="1" t="str" cm="1">
        <f t="array" ref="E20">_xlfn.LET(_xlpm.champ,suivi[membre.prive.date_naissance],
_xlpm.liste_unique,IFERROR(_xlfn.UNIQUE(_xlfn._xlws.FILTER(_xlpm.champ,(_xlpm.champ&lt;&gt;"")*(suivi[membre.id]=annuaire[[#This Row],[id]]))),""),
INDEX(_xlpm.liste_unique,ROWS(_xlpm.liste_unique)))</f>
        <v/>
      </c>
      <c r="F20" s="3" t="str" cm="1">
        <f t="array" ref="F20">_xlfn.LET(_xlpm.champ,suivi[membre.prive.'[emails']],
_xlpm.liste_unique,IFERROR(_xlfn.UNIQUE(_xlfn._xlws.FILTER(_xlpm.champ,(_xlpm.champ&lt;&gt;"")*(suivi[membre.id]=annuaire[[#This Row],[id]]))),""),
INDEX(_xlpm.liste_unique,ROWS(_xlpm.liste_unique)))</f>
        <v/>
      </c>
      <c r="G20" t="str" cm="1">
        <f t="array" ref="G20">_xlfn.LET(_xlpm.champ,suivi[membre.prive.'[telephone']],
_xlpm.liste_unique,IFERROR(_xlfn.UNIQUE(_xlfn._xlws.FILTER(_xlpm.champ,(_xlpm.champ&lt;&gt;"")*(suivi[membre.id]=annuaire[[#This Row],[id]]))),""),
INDEX(_xlpm.liste_unique,ROWS(_xlpm.liste_unique)))</f>
        <v/>
      </c>
      <c r="H20" t="str" cm="1">
        <f t="array" ref="H20">_xlfn.LET(_xlpm.champ,suivi[membre.prive.adresse.numero],
_xlpm.liste_unique,IFERROR(_xlfn.UNIQUE(_xlfn._xlws.FILTER(_xlpm.champ,(_xlpm.champ&lt;&gt;"")*(suivi[membre.id]=annuaire[[#This Row],[id]]))),""),
INDEX(_xlpm.liste_unique,ROWS(_xlpm.liste_unique)))</f>
        <v/>
      </c>
      <c r="I20" t="str" cm="1">
        <f t="array" ref="I20">_xlfn.LET(_xlpm.champ,suivi[membre.prive.adresse.type_voie],
_xlpm.liste_unique,IFERROR(_xlfn.UNIQUE(_xlfn._xlws.FILTER(_xlpm.champ,(_xlpm.champ&lt;&gt;"")*(suivi[membre.id]=annuaire[[#This Row],[id]]))),""),
INDEX(_xlpm.liste_unique,ROWS(_xlpm.liste_unique)))</f>
        <v/>
      </c>
      <c r="J20" t="str" cm="1">
        <f t="array" ref="J20">_xlfn.LET(_xlpm.champ,suivi[membre.prive.adresse.nom_voie],
_xlpm.liste_unique,IFERROR(_xlfn.UNIQUE(_xlfn._xlws.FILTER(_xlpm.champ,(_xlpm.champ&lt;&gt;"")*(suivi[membre.id]=annuaire[[#This Row],[id]]))),""),
INDEX(_xlpm.liste_unique,ROWS(_xlpm.liste_unique)))</f>
        <v/>
      </c>
      <c r="K20" t="str" cm="1">
        <f t="array" ref="K20">_xlfn.LET(_xlpm.champ,suivi[membre.prive.adresse.autre],
_xlpm.liste_unique,IFERROR(_xlfn.UNIQUE(_xlfn._xlws.FILTER(_xlpm.champ,(_xlpm.champ&lt;&gt;"")*(suivi[membre.id]=annuaire[[#This Row],[id]]))),""),
INDEX(_xlpm.liste_unique,ROWS(_xlpm.liste_unique)))</f>
        <v/>
      </c>
      <c r="L20" t="str" cm="1">
        <f t="array" ref="L20">_xlfn.LET(_xlpm.champ,suivi[membre.prive.adresse.cp],
_xlpm.liste_unique,IFERROR(_xlfn.UNIQUE(_xlfn._xlws.FILTER(_xlpm.champ,(_xlpm.champ&lt;&gt;"")*(suivi[membre.id]=annuaire[[#This Row],[id]]))),""),
INDEX(_xlpm.liste_unique,ROWS(_xlpm.liste_unique)))</f>
        <v/>
      </c>
      <c r="M20" s="5" t="str" cm="1">
        <f t="array" ref="M20">_xlfn.LET(_xlpm.champ,suivi[membre.prive.adresse.ville],
_xlpm.liste_unique,IFERROR(_xlfn.UNIQUE(_xlfn._xlws.FILTER(_xlpm.champ,(_xlpm.champ&lt;&gt;"")*(suivi[membre.id]=annuaire[[#This Row],[id]]))),""),
INDEX(_xlpm.liste_unique,ROWS(_xlpm.liste_unique)))</f>
        <v/>
      </c>
      <c r="N20" t="str" cm="1">
        <f t="array" ref="N20">_xlfn.LET(_xlpm.champ,suivi[membre.prive.pseudo_discord],
_xlpm.liste_unique,IFERROR(_xlfn.UNIQUE(_xlfn._xlws.FILTER(_xlpm.champ,(_xlpm.champ&lt;&gt;"")*(suivi[membre.id]=annuaire[[#This Row],[id]]))),""),
INDEX(_xlpm.liste_unique,ROWS(_xlpm.liste_unique)))</f>
        <v/>
      </c>
      <c r="O20" t="str" cm="1">
        <f t="array" ref="O20">_xlfn.LET(_xlpm.champ,suivi[membre.source_connaissance],
_xlpm.liste_unique,IFERROR(_xlfn.UNIQUE(_xlfn._xlws.FILTER(_xlpm.champ,(_xlpm.champ&lt;&gt;"")*(suivi[membre.id]=annuaire[[#This Row],[id]]))),""),
INDEX(_xlpm.liste_unique,ROWS(_xlpm.liste_unique)))</f>
        <v/>
      </c>
      <c r="P20" t="str">
        <f>IF(annuaire[[#This Row],[nom]]&lt;&gt;"",PROPER(annuaire[[#This Row],[nom]])&amp;IF(annuaire[[#This Row],[prenom]]&lt;&gt;""," "&amp;PROPER(annuaire[[#This Row],[prenom]]),""),
IF(annuaire[[#This Row],[pseudo_discord]]&lt;&gt;"","[discord] "&amp;annuaire[[#This Row],[pseudo_discord]]&amp;IF(annuaire[[#This Row],[prenom]]&lt;&gt;""," ("&amp;PROPER(annuaire[[#This Row],[prenom]])&amp;")",""),
IF(annuaire[[#This Row],[emails]]&lt;&gt;"","[email] "&amp;annuaire[[#This Row],[emails]]&amp;IF(annuaire[[#This Row],[prenom]]&lt;&gt;""," ("&amp;PROPER(annuaire[[#This Row],[prenom]])&amp;")",""),
IF(annuaire[[#This Row],[prenom]]&lt;&gt;"",PROPER(annuaire[[#This Row],[prenom]]),"AJ-"&amp;TEXT(annuaire[[#This Row],[id]],"00000")))))</f>
        <v>AJ-00019</v>
      </c>
      <c r="Q20" s="8">
        <f>COUNTIFS(suivi[entree.categorie],cotisation,suivi[membre.id],annuaire[[#This Row],[id]])</f>
        <v>0</v>
      </c>
      <c r="R20" s="9" t="str">
        <f>_xlfn.LET(_xlpm.der_pres,_xlfn.MINIFS(suivi[date],suivi[entree.categorie],cotisation,suivi[membre.id],annuaire[[#This Row],[id]]),
IF(_xlpm.der_pres=0,"",_xlpm.der_pres))</f>
        <v/>
      </c>
      <c r="S20" s="9" t="str">
        <f>_xlfn.LET(_xlpm.der_pres,_xlfn.MAXIFS(suivi[date],suivi[entree.categorie],cotisation,suivi[membre.id],annuaire[[#This Row],[id]]),
IF(_xlpm.der_pres=0,"",_xlpm.der_pres))</f>
        <v/>
      </c>
      <c r="T20" s="8">
        <f>COUNTIFS(suivi[entree.categorie],presence,suivi[membre.id],annuaire[[#This Row],[id]])</f>
        <v>0</v>
      </c>
      <c r="U20" s="9">
        <f>_xlfn.MAXIFS(suivi[date],suivi[membre.id],annuaire[[#This Row],[id]])</f>
        <v>0</v>
      </c>
      <c r="V20" s="8">
        <f>COUNTIFS(suivi[entree.categorie],presence,suivi[membre.id],annuaire[[#This Row],[id]],suivi['#support.saison_en_cours],1)</f>
        <v>0</v>
      </c>
      <c r="W20" s="8">
        <f>IF(COUNTIFS(suivi[entree.categorie],cotisation,suivi[membre.id],annuaire[[#This Row],[id]],suivi['#support.saison_en_cours],1)&gt;0,1,0)</f>
        <v>0</v>
      </c>
      <c r="X20" t="b">
        <f ca="1">IF(annuaire[[#This Row],[stats.cotis.derniere]]="",FALSE,
_xlfn.LET(
_xlpm.derniere_cotis_nb_mois,ROUNDDOWN((saison_debut-annuaire[[#This Row],[stats.cotis.derniere]])/30,1),
_xlpm.derniere_cotis_saison_precedente,AND(_xlpm.derniere_cotis_nb_mois&gt;0,_xlpm.derniere_cotis_nb_mois&lt;13),
_xlpm.nouvelle_saison_depuismoins2mois,(TODAY()-saison_debut)/30&lt;3,
AND(_xlpm.derniere_cotis_saison_precedente,_xlpm.nouvelle_saison_depuismoins2mois)
)
)</f>
        <v>0</v>
      </c>
      <c r="Y20" t="str" cm="1">
        <f t="array" ref="Y20">IFERROR(_xlfn.LET(_xlpm.filtre_table_suivi_saison_role,(suivi[membre.asso_role]&lt;&gt;"")*(suivi['#support.saison_en_cours]=1),
                                             _xlpm.nomination_saison_id,_xlfn._xlws.FILTER(suivi[membre.id],_xlpm.filtre_table_suivi_saison_role),
                                             _xlpm.nomination_saison_role,_xlfn._xlws.FILTER(suivi[membre.asso_role],_xlpm.filtre_table_suivi_saison_role),
                                             INDEX(_xlpm.nomination_saison_role,MATCH(annuaire[[#This Row],[id]],_xlpm.nomination_saison_id,0))),
                                         "")</f>
        <v/>
      </c>
      <c r="Z20" t="str">
        <f ca="1">IF(annuaire[[#This Row],[saison.asso_role_manuel]]&lt;&gt;"",annuaire[[#This Row],[saison.asso_role_manuel]],
IF(annuaire[[#This Row],[saison.cotis]]&gt;0,cotisant,
IF(annuaire[[#This Row],[saison.precedente]],cotisant_saison_prec,
"")))</f>
        <v/>
      </c>
      <c r="AA20" t="str" cm="1">
        <f t="array" ref="AA20">_xlfn.LET(_xlpm.champ,suivi[membre.prive.approbation_statuts],
_xlpm.liste_unique,IFERROR(_xlfn.UNIQUE(_xlfn._xlws.FILTER(_xlpm.champ,(suivi['#support.saison_en_cours]=1)*(_xlpm.champ&lt;&gt;"")*(suivi[membre.id]=annuaire[[#This Row],[id]]))),""),
INDEX(_xlpm.liste_unique,ROWS(_xlpm.liste_unique)))</f>
        <v/>
      </c>
      <c r="AB20" t="str" cm="1">
        <f t="array" ref="AB20">_xlfn.LET(_xlpm.champ,suivi[membre.prive.assurance_resp_civile],
_xlpm.liste_unique,IFERROR(_xlfn.UNIQUE(_xlfn._xlws.FILTER(_xlpm.champ,(suivi['#support.saison_en_cours]=1)*(_xlpm.champ&lt;&gt;"")*(suivi[membre.id]=annuaire[[#This Row],[id]]))),""),
INDEX(_xlpm.liste_unique,ROWS(_xlpm.liste_unique)))</f>
        <v/>
      </c>
      <c r="AC20" t="str" cm="1">
        <f t="array" ref="AC20">_xlfn.LET(_xlpm.champ,suivi[membre.prive.utilisation_image],
_xlpm.liste_unique,IFERROR(_xlfn.UNIQUE(_xlfn._xlws.FILTER(_xlpm.champ,(suivi['#support.saison_en_cours]=1)*(_xlpm.champ&lt;&gt;"")*(suivi[membre.id]=annuaire[[#This Row],[id]]))),""),
INDEX(_xlpm.liste_unique,ROWS(_xlpm.liste_unique)))</f>
        <v/>
      </c>
      <c r="AD20" t="str">
        <f ca="1">IF(OR(annuaire[[#This Row],[saison.cotis]]=1,annuaire[[#This Row],[stats.der_activite]]&gt;EDATE(TODAY(),-12)),1,"")</f>
        <v/>
      </c>
      <c r="AE20" s="7" t="str">
        <f>IF(annuaire[[#This Row],[saison.presence]]=0,"",IF(annuaire[[#This Row],[saison.cotis]]=1," ", annuaire[[#This Row],[saison.presence]]))</f>
        <v/>
      </c>
      <c r="AF20" t="str">
        <f>IF(annuaire[[#This Row],[pseudo_discord]]="","",MATCH(annuaire[[#This Row],[pseudo_discord]],#REF!,0))</f>
        <v/>
      </c>
    </row>
    <row r="21" spans="1:32" x14ac:dyDescent="0.25">
      <c r="A21" s="10">
        <v>20</v>
      </c>
      <c r="B21" s="1">
        <f>_xlfn.MINIFS(suivi[date],suivi[membre.id],annuaire[[#This Row],[id]])</f>
        <v>0</v>
      </c>
      <c r="C21" t="str" cm="1">
        <f t="array" ref="C21">_xlfn.LET(_xlpm.champ,suivi[membre.prive.nom],
_xlpm.liste_unique,IFERROR(_xlfn.UNIQUE(_xlfn._xlws.FILTER(_xlpm.champ,(_xlpm.champ&lt;&gt;"")*(suivi[membre.id]=annuaire[[#This Row],[id]]))),""),
INDEX(_xlpm.liste_unique,ROWS(_xlpm.liste_unique)))</f>
        <v/>
      </c>
      <c r="D21" t="str" cm="1">
        <f t="array" ref="D21">_xlfn.LET(_xlpm.champ,suivi[membre.prive.prenom],
_xlpm.liste_unique,IFERROR(_xlfn.UNIQUE(_xlfn._xlws.FILTER(_xlpm.champ,(_xlpm.champ&lt;&gt;"")*(suivi[membre.id]=annuaire[[#This Row],[id]]))),""),
INDEX(_xlpm.liste_unique,ROWS(_xlpm.liste_unique)))</f>
        <v/>
      </c>
      <c r="E21" s="1" t="str" cm="1">
        <f t="array" ref="E21">_xlfn.LET(_xlpm.champ,suivi[membre.prive.date_naissance],
_xlpm.liste_unique,IFERROR(_xlfn.UNIQUE(_xlfn._xlws.FILTER(_xlpm.champ,(_xlpm.champ&lt;&gt;"")*(suivi[membre.id]=annuaire[[#This Row],[id]]))),""),
INDEX(_xlpm.liste_unique,ROWS(_xlpm.liste_unique)))</f>
        <v/>
      </c>
      <c r="F21" s="3" t="str" cm="1">
        <f t="array" ref="F21">_xlfn.LET(_xlpm.champ,suivi[membre.prive.'[emails']],
_xlpm.liste_unique,IFERROR(_xlfn.UNIQUE(_xlfn._xlws.FILTER(_xlpm.champ,(_xlpm.champ&lt;&gt;"")*(suivi[membre.id]=annuaire[[#This Row],[id]]))),""),
INDEX(_xlpm.liste_unique,ROWS(_xlpm.liste_unique)))</f>
        <v/>
      </c>
      <c r="G21" t="str" cm="1">
        <f t="array" ref="G21">_xlfn.LET(_xlpm.champ,suivi[membre.prive.'[telephone']],
_xlpm.liste_unique,IFERROR(_xlfn.UNIQUE(_xlfn._xlws.FILTER(_xlpm.champ,(_xlpm.champ&lt;&gt;"")*(suivi[membre.id]=annuaire[[#This Row],[id]]))),""),
INDEX(_xlpm.liste_unique,ROWS(_xlpm.liste_unique)))</f>
        <v/>
      </c>
      <c r="H21" t="str" cm="1">
        <f t="array" ref="H21">_xlfn.LET(_xlpm.champ,suivi[membre.prive.adresse.numero],
_xlpm.liste_unique,IFERROR(_xlfn.UNIQUE(_xlfn._xlws.FILTER(_xlpm.champ,(_xlpm.champ&lt;&gt;"")*(suivi[membre.id]=annuaire[[#This Row],[id]]))),""),
INDEX(_xlpm.liste_unique,ROWS(_xlpm.liste_unique)))</f>
        <v/>
      </c>
      <c r="I21" t="str" cm="1">
        <f t="array" ref="I21">_xlfn.LET(_xlpm.champ,suivi[membre.prive.adresse.type_voie],
_xlpm.liste_unique,IFERROR(_xlfn.UNIQUE(_xlfn._xlws.FILTER(_xlpm.champ,(_xlpm.champ&lt;&gt;"")*(suivi[membre.id]=annuaire[[#This Row],[id]]))),""),
INDEX(_xlpm.liste_unique,ROWS(_xlpm.liste_unique)))</f>
        <v/>
      </c>
      <c r="J21" t="str" cm="1">
        <f t="array" ref="J21">_xlfn.LET(_xlpm.champ,suivi[membre.prive.adresse.nom_voie],
_xlpm.liste_unique,IFERROR(_xlfn.UNIQUE(_xlfn._xlws.FILTER(_xlpm.champ,(_xlpm.champ&lt;&gt;"")*(suivi[membre.id]=annuaire[[#This Row],[id]]))),""),
INDEX(_xlpm.liste_unique,ROWS(_xlpm.liste_unique)))</f>
        <v/>
      </c>
      <c r="K21" t="str" cm="1">
        <f t="array" ref="K21">_xlfn.LET(_xlpm.champ,suivi[membre.prive.adresse.autre],
_xlpm.liste_unique,IFERROR(_xlfn.UNIQUE(_xlfn._xlws.FILTER(_xlpm.champ,(_xlpm.champ&lt;&gt;"")*(suivi[membre.id]=annuaire[[#This Row],[id]]))),""),
INDEX(_xlpm.liste_unique,ROWS(_xlpm.liste_unique)))</f>
        <v/>
      </c>
      <c r="L21" t="str" cm="1">
        <f t="array" ref="L21">_xlfn.LET(_xlpm.champ,suivi[membre.prive.adresse.cp],
_xlpm.liste_unique,IFERROR(_xlfn.UNIQUE(_xlfn._xlws.FILTER(_xlpm.champ,(_xlpm.champ&lt;&gt;"")*(suivi[membre.id]=annuaire[[#This Row],[id]]))),""),
INDEX(_xlpm.liste_unique,ROWS(_xlpm.liste_unique)))</f>
        <v/>
      </c>
      <c r="M21" s="5" t="str" cm="1">
        <f t="array" ref="M21">_xlfn.LET(_xlpm.champ,suivi[membre.prive.adresse.ville],
_xlpm.liste_unique,IFERROR(_xlfn.UNIQUE(_xlfn._xlws.FILTER(_xlpm.champ,(_xlpm.champ&lt;&gt;"")*(suivi[membre.id]=annuaire[[#This Row],[id]]))),""),
INDEX(_xlpm.liste_unique,ROWS(_xlpm.liste_unique)))</f>
        <v/>
      </c>
      <c r="N21" t="str" cm="1">
        <f t="array" ref="N21">_xlfn.LET(_xlpm.champ,suivi[membre.prive.pseudo_discord],
_xlpm.liste_unique,IFERROR(_xlfn.UNIQUE(_xlfn._xlws.FILTER(_xlpm.champ,(_xlpm.champ&lt;&gt;"")*(suivi[membre.id]=annuaire[[#This Row],[id]]))),""),
INDEX(_xlpm.liste_unique,ROWS(_xlpm.liste_unique)))</f>
        <v/>
      </c>
      <c r="O21" t="str" cm="1">
        <f t="array" ref="O21">_xlfn.LET(_xlpm.champ,suivi[membre.source_connaissance],
_xlpm.liste_unique,IFERROR(_xlfn.UNIQUE(_xlfn._xlws.FILTER(_xlpm.champ,(_xlpm.champ&lt;&gt;"")*(suivi[membre.id]=annuaire[[#This Row],[id]]))),""),
INDEX(_xlpm.liste_unique,ROWS(_xlpm.liste_unique)))</f>
        <v/>
      </c>
      <c r="P21" t="str">
        <f>IF(annuaire[[#This Row],[nom]]&lt;&gt;"",PROPER(annuaire[[#This Row],[nom]])&amp;IF(annuaire[[#This Row],[prenom]]&lt;&gt;""," "&amp;PROPER(annuaire[[#This Row],[prenom]]),""),
IF(annuaire[[#This Row],[pseudo_discord]]&lt;&gt;"","[discord] "&amp;annuaire[[#This Row],[pseudo_discord]]&amp;IF(annuaire[[#This Row],[prenom]]&lt;&gt;""," ("&amp;PROPER(annuaire[[#This Row],[prenom]])&amp;")",""),
IF(annuaire[[#This Row],[emails]]&lt;&gt;"","[email] "&amp;annuaire[[#This Row],[emails]]&amp;IF(annuaire[[#This Row],[prenom]]&lt;&gt;""," ("&amp;PROPER(annuaire[[#This Row],[prenom]])&amp;")",""),
IF(annuaire[[#This Row],[prenom]]&lt;&gt;"",PROPER(annuaire[[#This Row],[prenom]]),"AJ-"&amp;TEXT(annuaire[[#This Row],[id]],"00000")))))</f>
        <v>AJ-00020</v>
      </c>
      <c r="Q21" s="8">
        <f>COUNTIFS(suivi[entree.categorie],cotisation,suivi[membre.id],annuaire[[#This Row],[id]])</f>
        <v>0</v>
      </c>
      <c r="R21" s="9" t="str">
        <f>_xlfn.LET(_xlpm.der_pres,_xlfn.MINIFS(suivi[date],suivi[entree.categorie],cotisation,suivi[membre.id],annuaire[[#This Row],[id]]),
IF(_xlpm.der_pres=0,"",_xlpm.der_pres))</f>
        <v/>
      </c>
      <c r="S21" s="9" t="str">
        <f>_xlfn.LET(_xlpm.der_pres,_xlfn.MAXIFS(suivi[date],suivi[entree.categorie],cotisation,suivi[membre.id],annuaire[[#This Row],[id]]),
IF(_xlpm.der_pres=0,"",_xlpm.der_pres))</f>
        <v/>
      </c>
      <c r="T21" s="8">
        <f>COUNTIFS(suivi[entree.categorie],presence,suivi[membre.id],annuaire[[#This Row],[id]])</f>
        <v>0</v>
      </c>
      <c r="U21" s="9">
        <f>_xlfn.MAXIFS(suivi[date],suivi[membre.id],annuaire[[#This Row],[id]])</f>
        <v>0</v>
      </c>
      <c r="V21" s="8">
        <f>COUNTIFS(suivi[entree.categorie],presence,suivi[membre.id],annuaire[[#This Row],[id]],suivi['#support.saison_en_cours],1)</f>
        <v>0</v>
      </c>
      <c r="W21" s="8">
        <f>IF(COUNTIFS(suivi[entree.categorie],cotisation,suivi[membre.id],annuaire[[#This Row],[id]],suivi['#support.saison_en_cours],1)&gt;0,1,0)</f>
        <v>0</v>
      </c>
      <c r="X21" t="b">
        <f ca="1">IF(annuaire[[#This Row],[stats.cotis.derniere]]="",FALSE,
_xlfn.LET(
_xlpm.derniere_cotis_nb_mois,ROUNDDOWN((saison_debut-annuaire[[#This Row],[stats.cotis.derniere]])/30,1),
_xlpm.derniere_cotis_saison_precedente,AND(_xlpm.derniere_cotis_nb_mois&gt;0,_xlpm.derniere_cotis_nb_mois&lt;13),
_xlpm.nouvelle_saison_depuismoins2mois,(TODAY()-saison_debut)/30&lt;3,
AND(_xlpm.derniere_cotis_saison_precedente,_xlpm.nouvelle_saison_depuismoins2mois)
)
)</f>
        <v>0</v>
      </c>
      <c r="Y21" t="str" cm="1">
        <f t="array" ref="Y21">IFERROR(_xlfn.LET(_xlpm.filtre_table_suivi_saison_role,(suivi[membre.asso_role]&lt;&gt;"")*(suivi['#support.saison_en_cours]=1),
                                             _xlpm.nomination_saison_id,_xlfn._xlws.FILTER(suivi[membre.id],_xlpm.filtre_table_suivi_saison_role),
                                             _xlpm.nomination_saison_role,_xlfn._xlws.FILTER(suivi[membre.asso_role],_xlpm.filtre_table_suivi_saison_role),
                                             INDEX(_xlpm.nomination_saison_role,MATCH(annuaire[[#This Row],[id]],_xlpm.nomination_saison_id,0))),
                                         "")</f>
        <v/>
      </c>
      <c r="Z21" t="str">
        <f ca="1">IF(annuaire[[#This Row],[saison.asso_role_manuel]]&lt;&gt;"",annuaire[[#This Row],[saison.asso_role_manuel]],
IF(annuaire[[#This Row],[saison.cotis]]&gt;0,cotisant,
IF(annuaire[[#This Row],[saison.precedente]],cotisant_saison_prec,
"")))</f>
        <v/>
      </c>
      <c r="AA21" t="str" cm="1">
        <f t="array" ref="AA21">_xlfn.LET(_xlpm.champ,suivi[membre.prive.approbation_statuts],
_xlpm.liste_unique,IFERROR(_xlfn.UNIQUE(_xlfn._xlws.FILTER(_xlpm.champ,(suivi['#support.saison_en_cours]=1)*(_xlpm.champ&lt;&gt;"")*(suivi[membre.id]=annuaire[[#This Row],[id]]))),""),
INDEX(_xlpm.liste_unique,ROWS(_xlpm.liste_unique)))</f>
        <v/>
      </c>
      <c r="AB21" t="str" cm="1">
        <f t="array" ref="AB21">_xlfn.LET(_xlpm.champ,suivi[membre.prive.assurance_resp_civile],
_xlpm.liste_unique,IFERROR(_xlfn.UNIQUE(_xlfn._xlws.FILTER(_xlpm.champ,(suivi['#support.saison_en_cours]=1)*(_xlpm.champ&lt;&gt;"")*(suivi[membre.id]=annuaire[[#This Row],[id]]))),""),
INDEX(_xlpm.liste_unique,ROWS(_xlpm.liste_unique)))</f>
        <v/>
      </c>
      <c r="AC21" t="str" cm="1">
        <f t="array" ref="AC21">_xlfn.LET(_xlpm.champ,suivi[membre.prive.utilisation_image],
_xlpm.liste_unique,IFERROR(_xlfn.UNIQUE(_xlfn._xlws.FILTER(_xlpm.champ,(suivi['#support.saison_en_cours]=1)*(_xlpm.champ&lt;&gt;"")*(suivi[membre.id]=annuaire[[#This Row],[id]]))),""),
INDEX(_xlpm.liste_unique,ROWS(_xlpm.liste_unique)))</f>
        <v/>
      </c>
      <c r="AD21" t="str">
        <f ca="1">IF(OR(annuaire[[#This Row],[saison.cotis]]=1,annuaire[[#This Row],[stats.der_activite]]&gt;EDATE(TODAY(),-12)),1,"")</f>
        <v/>
      </c>
      <c r="AE21" s="7" t="str">
        <f>IF(annuaire[[#This Row],[saison.presence]]=0,"",IF(annuaire[[#This Row],[saison.cotis]]=1," ", annuaire[[#This Row],[saison.presence]]))</f>
        <v/>
      </c>
      <c r="AF21" t="str">
        <f>IF(annuaire[[#This Row],[pseudo_discord]]="","",MATCH(annuaire[[#This Row],[pseudo_discord]],#REF!,0))</f>
        <v/>
      </c>
    </row>
  </sheetData>
  <phoneticPr fontId="2" type="noConversion"/>
  <conditionalFormatting sqref="A1:XFD1048576">
    <cfRule type="expression" dxfId="2" priority="1">
      <formula>_xlfn.ISFORMULA(A1)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4FA8C-1924-43B5-BC4D-89DEC66419A5}">
  <dimension ref="A1:F15"/>
  <sheetViews>
    <sheetView workbookViewId="0">
      <selection activeCell="A2" sqref="A2"/>
    </sheetView>
  </sheetViews>
  <sheetFormatPr defaultRowHeight="15" x14ac:dyDescent="0.25"/>
  <cols>
    <col min="1" max="1" width="15.28515625" bestFit="1" customWidth="1"/>
    <col min="2" max="3" width="10.7109375" bestFit="1" customWidth="1"/>
    <col min="4" max="4" width="10.7109375" customWidth="1"/>
    <col min="5" max="5" width="16.7109375" bestFit="1" customWidth="1"/>
    <col min="6" max="6" width="15.7109375" bestFit="1" customWidth="1"/>
  </cols>
  <sheetData>
    <row r="1" spans="1:6" x14ac:dyDescent="0.25">
      <c r="A1" s="6" t="s">
        <v>104</v>
      </c>
    </row>
    <row r="2" spans="1:6" ht="15.75" thickBot="1" x14ac:dyDescent="0.3">
      <c r="A2" s="17" t="s">
        <v>92</v>
      </c>
      <c r="B2" s="18">
        <f>INDEX(saisons[debut],MATCH(saison_en_cours,saisons[nom],0))</f>
        <v>45901</v>
      </c>
      <c r="C2" s="18">
        <f>INDEX(saisons[fin],MATCH(saison_en_cours,saisons[nom],0))</f>
        <v>46265</v>
      </c>
      <c r="D2" s="1"/>
      <c r="E2" s="1"/>
      <c r="F2" s="1"/>
    </row>
    <row r="4" spans="1:6" x14ac:dyDescent="0.25">
      <c r="A4" t="s">
        <v>8</v>
      </c>
      <c r="B4" t="s">
        <v>102</v>
      </c>
      <c r="C4" t="s">
        <v>103</v>
      </c>
    </row>
    <row r="5" spans="1:6" x14ac:dyDescent="0.25">
      <c r="A5" t="s">
        <v>153</v>
      </c>
      <c r="B5" s="1">
        <v>42370</v>
      </c>
      <c r="C5" s="1">
        <v>42613</v>
      </c>
      <c r="D5" s="1"/>
      <c r="E5" s="1"/>
      <c r="F5" s="1"/>
    </row>
    <row r="6" spans="1:6" x14ac:dyDescent="0.25">
      <c r="A6" t="s">
        <v>154</v>
      </c>
      <c r="B6" s="1">
        <v>42614</v>
      </c>
      <c r="C6" s="1">
        <v>42978</v>
      </c>
      <c r="D6" s="1"/>
      <c r="E6" s="1"/>
      <c r="F6" s="1"/>
    </row>
    <row r="7" spans="1:6" x14ac:dyDescent="0.25">
      <c r="A7" t="s">
        <v>155</v>
      </c>
      <c r="B7" s="1">
        <v>42979</v>
      </c>
      <c r="C7" s="1">
        <v>43343</v>
      </c>
      <c r="D7" s="1"/>
      <c r="E7" s="1"/>
      <c r="F7" s="1"/>
    </row>
    <row r="8" spans="1:6" x14ac:dyDescent="0.25">
      <c r="A8" t="s">
        <v>156</v>
      </c>
      <c r="B8" s="1">
        <v>43344</v>
      </c>
      <c r="C8" s="1">
        <v>43708</v>
      </c>
      <c r="D8" s="1"/>
      <c r="E8" s="1"/>
      <c r="F8" s="1"/>
    </row>
    <row r="9" spans="1:6" x14ac:dyDescent="0.25">
      <c r="A9" t="s">
        <v>157</v>
      </c>
      <c r="B9" s="1">
        <v>43709</v>
      </c>
      <c r="C9" s="1">
        <v>44074</v>
      </c>
      <c r="D9" s="1"/>
      <c r="E9" s="1"/>
      <c r="F9" s="1"/>
    </row>
    <row r="10" spans="1:6" x14ac:dyDescent="0.25">
      <c r="A10" t="s">
        <v>158</v>
      </c>
      <c r="B10" s="1">
        <v>44075</v>
      </c>
      <c r="C10" s="1">
        <v>44439</v>
      </c>
      <c r="D10" s="1"/>
      <c r="E10" s="1"/>
      <c r="F10" s="1"/>
    </row>
    <row r="11" spans="1:6" x14ac:dyDescent="0.25">
      <c r="A11" t="s">
        <v>159</v>
      </c>
      <c r="B11" s="1">
        <v>44440</v>
      </c>
      <c r="C11" s="1">
        <v>44804</v>
      </c>
      <c r="D11" s="1"/>
      <c r="E11" s="1"/>
      <c r="F11" s="1"/>
    </row>
    <row r="12" spans="1:6" x14ac:dyDescent="0.25">
      <c r="A12" t="s">
        <v>160</v>
      </c>
      <c r="B12" s="1">
        <v>44805</v>
      </c>
      <c r="C12" s="1">
        <v>45169</v>
      </c>
      <c r="D12" s="1"/>
      <c r="E12" s="1"/>
      <c r="F12" s="1"/>
    </row>
    <row r="13" spans="1:6" x14ac:dyDescent="0.25">
      <c r="A13" t="s">
        <v>161</v>
      </c>
      <c r="B13" s="1">
        <v>45170</v>
      </c>
      <c r="C13" s="1">
        <v>45535</v>
      </c>
      <c r="D13" s="1"/>
      <c r="E13" s="1"/>
      <c r="F13" s="1"/>
    </row>
    <row r="14" spans="1:6" x14ac:dyDescent="0.25">
      <c r="A14" t="s">
        <v>42</v>
      </c>
      <c r="B14" s="1">
        <v>45536</v>
      </c>
      <c r="C14" s="1">
        <v>45900</v>
      </c>
      <c r="D14" s="1"/>
      <c r="E14" s="1"/>
      <c r="F14" s="1"/>
    </row>
    <row r="15" spans="1:6" x14ac:dyDescent="0.25">
      <c r="A15" t="s">
        <v>92</v>
      </c>
      <c r="B15" s="1">
        <v>45901</v>
      </c>
      <c r="C15" s="1">
        <v>46265</v>
      </c>
      <c r="D15" s="1"/>
      <c r="E15" s="1"/>
      <c r="F15" s="1"/>
    </row>
  </sheetData>
  <conditionalFormatting sqref="A1:XFD1048576">
    <cfRule type="expression" dxfId="1" priority="1">
      <formula>_xlfn.ISFORMULA(A1)</formula>
    </cfRule>
  </conditionalFormatting>
  <dataValidations count="1">
    <dataValidation type="list" allowBlank="1" showInputMessage="1" showErrorMessage="1" sqref="A2" xr:uid="{E1AE6EB3-04F8-4B1B-AC14-AD78A9A4786B}">
      <formula1>INDIRECT("saisons[nom]")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3912"/>
  <sheetViews>
    <sheetView topLeftCell="C1" workbookViewId="0">
      <selection activeCell="T1" sqref="T1"/>
    </sheetView>
  </sheetViews>
  <sheetFormatPr defaultRowHeight="15" x14ac:dyDescent="0.25"/>
  <cols>
    <col min="1" max="1" width="12.5703125" bestFit="1" customWidth="1"/>
    <col min="3" max="3" width="27.28515625" bestFit="1" customWidth="1"/>
    <col min="5" max="5" width="19.42578125" bestFit="1" customWidth="1"/>
    <col min="6" max="6" width="20.28515625" bestFit="1" customWidth="1"/>
    <col min="8" max="8" width="9.7109375" bestFit="1" customWidth="1"/>
    <col min="10" max="10" width="23.28515625" bestFit="1" customWidth="1"/>
    <col min="11" max="11" width="19.42578125" bestFit="1" customWidth="1"/>
    <col min="12" max="12" width="13.28515625" bestFit="1" customWidth="1"/>
    <col min="13" max="13" width="19.85546875" bestFit="1" customWidth="1"/>
    <col min="14" max="14" width="14.85546875" bestFit="1" customWidth="1"/>
    <col min="15" max="15" width="13.42578125" bestFit="1" customWidth="1"/>
    <col min="16" max="16" width="11.42578125" bestFit="1" customWidth="1"/>
  </cols>
  <sheetData>
    <row r="1" spans="1:21" x14ac:dyDescent="0.25">
      <c r="A1" t="s">
        <v>117</v>
      </c>
      <c r="C1" t="s">
        <v>117</v>
      </c>
      <c r="E1" t="s">
        <v>117</v>
      </c>
      <c r="F1" t="s">
        <v>26</v>
      </c>
      <c r="H1" t="s">
        <v>117</v>
      </c>
      <c r="J1" t="s">
        <v>49</v>
      </c>
      <c r="K1" t="s">
        <v>50</v>
      </c>
      <c r="L1" t="s">
        <v>126</v>
      </c>
      <c r="M1" t="s">
        <v>130</v>
      </c>
      <c r="N1" t="s">
        <v>127</v>
      </c>
      <c r="O1" t="s">
        <v>128</v>
      </c>
      <c r="P1" t="s">
        <v>129</v>
      </c>
      <c r="R1" t="s">
        <v>117</v>
      </c>
      <c r="T1" t="str" cm="1">
        <f t="array" ref="T1:T20">_xlfn._xlws.SORT(_xlfn.UNIQUE(_xlfn._xlws.FILTER(annuaire[nom_userfriendly],annuaire[nom_userfriendly]&lt;&gt;"")))</f>
        <v>[discord] VbrBot</v>
      </c>
      <c r="U1" t="str" cm="1">
        <f t="array" ref="U1:U22">_xlfn._xlws.SORT(_xlfn.UNIQUE(_xlfn._xlws.FILTER(suivi[entree.nom],suivi[entree.nom]&lt;&gt;"")))</f>
        <v>2015-2016</v>
      </c>
    </row>
    <row r="2" spans="1:21" x14ac:dyDescent="0.25">
      <c r="A2" t="s">
        <v>6</v>
      </c>
      <c r="C2" t="s">
        <v>14</v>
      </c>
      <c r="E2" t="s">
        <v>119</v>
      </c>
      <c r="F2" s="20" t="s">
        <v>135</v>
      </c>
      <c r="H2" t="s">
        <v>80</v>
      </c>
      <c r="J2" t="s">
        <v>24</v>
      </c>
      <c r="K2" t="s">
        <v>138</v>
      </c>
      <c r="L2" t="b">
        <v>1</v>
      </c>
      <c r="O2" t="b">
        <v>1</v>
      </c>
      <c r="P2" t="b">
        <v>1</v>
      </c>
      <c r="R2" t="s">
        <v>30</v>
      </c>
      <c r="T2" t="str">
        <v>AJ-00003</v>
      </c>
      <c r="U2" t="str">
        <v>2016-2017</v>
      </c>
    </row>
    <row r="3" spans="1:21" x14ac:dyDescent="0.25">
      <c r="A3" t="s">
        <v>7</v>
      </c>
      <c r="C3" t="s">
        <v>90</v>
      </c>
      <c r="E3" t="s">
        <v>118</v>
      </c>
      <c r="F3" s="20" t="s">
        <v>137</v>
      </c>
      <c r="H3" t="s">
        <v>5</v>
      </c>
      <c r="J3" t="s">
        <v>21</v>
      </c>
      <c r="K3" t="s">
        <v>118</v>
      </c>
      <c r="L3" t="b">
        <v>1</v>
      </c>
      <c r="O3" t="b">
        <v>1</v>
      </c>
      <c r="P3" t="b">
        <v>0</v>
      </c>
      <c r="R3" t="s">
        <v>31</v>
      </c>
      <c r="T3" t="str">
        <v>AJ-00005</v>
      </c>
      <c r="U3" t="str">
        <v>2017-2018</v>
      </c>
    </row>
    <row r="4" spans="1:21" x14ac:dyDescent="0.25">
      <c r="A4" t="s">
        <v>0</v>
      </c>
      <c r="C4" t="s">
        <v>15</v>
      </c>
      <c r="E4" t="s">
        <v>96</v>
      </c>
      <c r="F4" s="20" t="s">
        <v>139</v>
      </c>
      <c r="H4" t="s">
        <v>40</v>
      </c>
      <c r="J4" t="s">
        <v>23</v>
      </c>
      <c r="K4" t="s">
        <v>118</v>
      </c>
      <c r="L4" t="b">
        <v>1</v>
      </c>
      <c r="O4" t="b">
        <v>1</v>
      </c>
      <c r="P4" t="b">
        <v>0</v>
      </c>
      <c r="R4" t="s">
        <v>32</v>
      </c>
      <c r="T4" t="str">
        <v>AJ-00006</v>
      </c>
      <c r="U4" t="str">
        <v>2018-2019</v>
      </c>
    </row>
    <row r="5" spans="1:21" x14ac:dyDescent="0.25">
      <c r="A5" t="s">
        <v>81</v>
      </c>
      <c r="C5" t="s">
        <v>16</v>
      </c>
      <c r="E5" t="s">
        <v>94</v>
      </c>
      <c r="F5" s="20" t="s">
        <v>141</v>
      </c>
      <c r="H5" t="s">
        <v>43</v>
      </c>
      <c r="J5" t="s">
        <v>22</v>
      </c>
      <c r="K5" t="s">
        <v>118</v>
      </c>
      <c r="L5" t="b">
        <v>1</v>
      </c>
      <c r="O5" t="b">
        <v>1</v>
      </c>
      <c r="P5" t="b">
        <v>0</v>
      </c>
      <c r="R5" t="s">
        <v>33</v>
      </c>
      <c r="T5" t="str">
        <v>AJ-00007</v>
      </c>
      <c r="U5" t="str">
        <v>2019-2020</v>
      </c>
    </row>
    <row r="6" spans="1:21" x14ac:dyDescent="0.25">
      <c r="A6" t="s">
        <v>41</v>
      </c>
      <c r="C6" t="s">
        <v>17</v>
      </c>
      <c r="E6" t="s">
        <v>97</v>
      </c>
      <c r="F6" s="20" t="s">
        <v>142</v>
      </c>
      <c r="J6" t="s">
        <v>20</v>
      </c>
      <c r="K6" t="s">
        <v>118</v>
      </c>
      <c r="L6" t="b">
        <v>1</v>
      </c>
      <c r="O6" t="b">
        <v>1</v>
      </c>
      <c r="P6" t="b">
        <v>0</v>
      </c>
      <c r="R6" t="s">
        <v>34</v>
      </c>
      <c r="T6" t="str">
        <v>AJ-00008</v>
      </c>
      <c r="U6" t="str">
        <v>2020-2021</v>
      </c>
    </row>
    <row r="7" spans="1:21" x14ac:dyDescent="0.25">
      <c r="A7" t="s">
        <v>111</v>
      </c>
      <c r="E7" t="s">
        <v>48</v>
      </c>
      <c r="F7" s="20" t="s">
        <v>140</v>
      </c>
      <c r="J7" t="s">
        <v>25</v>
      </c>
      <c r="K7" t="s">
        <v>118</v>
      </c>
      <c r="L7" t="b">
        <v>1</v>
      </c>
      <c r="O7" t="b">
        <v>1</v>
      </c>
      <c r="P7" t="b">
        <v>0</v>
      </c>
      <c r="R7" t="s">
        <v>35</v>
      </c>
      <c r="T7" t="str">
        <v>AJ-00009</v>
      </c>
      <c r="U7" t="str">
        <v>2021-2022</v>
      </c>
    </row>
    <row r="8" spans="1:21" x14ac:dyDescent="0.25">
      <c r="A8" t="s">
        <v>120</v>
      </c>
      <c r="E8" t="s">
        <v>106</v>
      </c>
      <c r="F8" s="20" t="s">
        <v>143</v>
      </c>
      <c r="J8" t="s">
        <v>132</v>
      </c>
      <c r="K8" t="s">
        <v>96</v>
      </c>
      <c r="L8" t="b">
        <v>1</v>
      </c>
      <c r="M8" t="b">
        <v>0</v>
      </c>
      <c r="N8" t="b">
        <v>1</v>
      </c>
      <c r="R8" t="s">
        <v>36</v>
      </c>
      <c r="T8" t="str">
        <v>AJ-00010</v>
      </c>
      <c r="U8" t="str">
        <v>2022-2023</v>
      </c>
    </row>
    <row r="9" spans="1:21" x14ac:dyDescent="0.25">
      <c r="B9" t="s">
        <v>117</v>
      </c>
      <c r="E9" s="22" t="s">
        <v>108</v>
      </c>
      <c r="F9" s="21" t="s">
        <v>131</v>
      </c>
      <c r="J9" t="s">
        <v>133</v>
      </c>
      <c r="K9" t="s">
        <v>94</v>
      </c>
      <c r="L9" t="b">
        <v>1</v>
      </c>
      <c r="M9" t="b">
        <v>1</v>
      </c>
      <c r="N9" t="b">
        <v>0</v>
      </c>
      <c r="R9" t="s">
        <v>37</v>
      </c>
      <c r="T9" t="str">
        <v>AJ-00011</v>
      </c>
      <c r="U9" t="str">
        <v>2023-2024</v>
      </c>
    </row>
    <row r="10" spans="1:21" x14ac:dyDescent="0.25">
      <c r="B10" t="s">
        <v>113</v>
      </c>
      <c r="J10" t="s">
        <v>19</v>
      </c>
      <c r="K10" t="s">
        <v>97</v>
      </c>
      <c r="L10" t="b">
        <v>1</v>
      </c>
      <c r="M10" t="b">
        <v>0</v>
      </c>
      <c r="N10" t="b">
        <v>0</v>
      </c>
      <c r="O10" t="b">
        <v>0</v>
      </c>
      <c r="P10" t="b">
        <v>0</v>
      </c>
      <c r="R10" t="s">
        <v>79</v>
      </c>
      <c r="T10" t="str">
        <v>AJ-00012</v>
      </c>
      <c r="U10" t="str">
        <v>2024-2025</v>
      </c>
    </row>
    <row r="11" spans="1:21" x14ac:dyDescent="0.25">
      <c r="B11" t="s">
        <v>114</v>
      </c>
      <c r="J11" t="s">
        <v>134</v>
      </c>
      <c r="K11" t="s">
        <v>48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T11" t="str">
        <v>AJ-00013</v>
      </c>
      <c r="U11" t="str">
        <v>2025-2026</v>
      </c>
    </row>
    <row r="12" spans="1:21" x14ac:dyDescent="0.25">
      <c r="B12" t="s">
        <v>115</v>
      </c>
      <c r="J12" t="s">
        <v>144</v>
      </c>
      <c r="K12" t="s">
        <v>106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T12" t="str">
        <v>AJ-00014</v>
      </c>
      <c r="U12" t="str">
        <v>Assemblée Générale 2024</v>
      </c>
    </row>
    <row r="13" spans="1:21" x14ac:dyDescent="0.25">
      <c r="B13" t="s">
        <v>17</v>
      </c>
      <c r="J13" t="s">
        <v>18</v>
      </c>
      <c r="K13" t="s">
        <v>108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T13" t="str">
        <v>AJ-00015</v>
      </c>
      <c r="U13" t="str">
        <v>Assemblée Générale 2025</v>
      </c>
    </row>
    <row r="14" spans="1:21" x14ac:dyDescent="0.25">
      <c r="B14" t="s">
        <v>116</v>
      </c>
      <c r="T14" t="str">
        <v>AJ-00016</v>
      </c>
      <c r="U14" t="str">
        <v>Epiphanie 2024</v>
      </c>
    </row>
    <row r="15" spans="1:21" x14ac:dyDescent="0.25">
      <c r="J15" s="1"/>
      <c r="T15" t="str">
        <v>AJ-00017</v>
      </c>
      <c r="U15" t="str">
        <v>Epiphanie 2025</v>
      </c>
    </row>
    <row r="16" spans="1:21" x14ac:dyDescent="0.25">
      <c r="J16" s="1"/>
      <c r="K16" s="1"/>
      <c r="L16" s="1"/>
      <c r="M16" s="1"/>
      <c r="N16" s="1"/>
      <c r="O16" s="1"/>
      <c r="P16" s="1"/>
      <c r="T16" t="str">
        <v>AJ-00018</v>
      </c>
      <c r="U16" t="str">
        <v>Epiphanie 2026</v>
      </c>
    </row>
    <row r="17" spans="2:21" x14ac:dyDescent="0.25">
      <c r="T17" t="str">
        <v>AJ-00019</v>
      </c>
      <c r="U17" t="str">
        <v>Forum associations 2019</v>
      </c>
    </row>
    <row r="18" spans="2:21" x14ac:dyDescent="0.25">
      <c r="I18" s="1"/>
      <c r="Q18" s="1"/>
      <c r="T18" t="str">
        <v>AJ-00020</v>
      </c>
      <c r="U18" t="str">
        <v>Forum associations 2023</v>
      </c>
    </row>
    <row r="19" spans="2:21" x14ac:dyDescent="0.25">
      <c r="I19" s="1"/>
      <c r="Q19" s="1"/>
      <c r="T19" t="str">
        <v>Bon Jean</v>
      </c>
      <c r="U19" t="str">
        <v>Forum associations 2024</v>
      </c>
    </row>
    <row r="20" spans="2:21" x14ac:dyDescent="0.25">
      <c r="I20" s="1"/>
      <c r="Q20" s="1"/>
      <c r="T20" t="str">
        <v>Dupont Marie</v>
      </c>
      <c r="U20" t="str">
        <v>Forum associations 2025</v>
      </c>
    </row>
    <row r="21" spans="2:21" x14ac:dyDescent="0.25">
      <c r="I21" s="1"/>
      <c r="Q21" s="1"/>
      <c r="U21" t="str">
        <v>Soirée Jeux Duo</v>
      </c>
    </row>
    <row r="22" spans="2:21" x14ac:dyDescent="0.25">
      <c r="I22" s="1"/>
      <c r="Q22" s="1"/>
      <c r="U22" t="str">
        <v>Soirée Jeux Halloween</v>
      </c>
    </row>
    <row r="23" spans="2:21" x14ac:dyDescent="0.25">
      <c r="I23" s="1"/>
      <c r="Q23" s="1"/>
    </row>
    <row r="24" spans="2:21" x14ac:dyDescent="0.25">
      <c r="I24" s="1"/>
      <c r="Q24" s="1"/>
    </row>
    <row r="25" spans="2:21" x14ac:dyDescent="0.25">
      <c r="I25" s="1"/>
      <c r="Q25" s="1"/>
    </row>
    <row r="26" spans="2:21" x14ac:dyDescent="0.25">
      <c r="I26" s="1"/>
      <c r="Q26" s="1"/>
    </row>
    <row r="27" spans="2:21" x14ac:dyDescent="0.25">
      <c r="I27" s="1"/>
      <c r="Q27" s="1"/>
    </row>
    <row r="28" spans="2:21" x14ac:dyDescent="0.25">
      <c r="B28" s="1"/>
      <c r="I28" s="1"/>
      <c r="Q28" s="1"/>
    </row>
    <row r="29" spans="2:21" x14ac:dyDescent="0.25">
      <c r="B29" s="1"/>
    </row>
    <row r="30" spans="2:21" x14ac:dyDescent="0.25">
      <c r="B30" s="1"/>
    </row>
    <row r="31" spans="2:21" x14ac:dyDescent="0.25">
      <c r="B31" s="1"/>
    </row>
    <row r="32" spans="2:21" x14ac:dyDescent="0.25">
      <c r="B32" s="1"/>
    </row>
    <row r="33" spans="2:2" x14ac:dyDescent="0.25">
      <c r="B33" s="1"/>
    </row>
    <row r="34" spans="2:2" x14ac:dyDescent="0.25">
      <c r="B34" s="1"/>
    </row>
    <row r="35" spans="2:2" x14ac:dyDescent="0.25">
      <c r="B35" s="1"/>
    </row>
    <row r="36" spans="2:2" x14ac:dyDescent="0.25">
      <c r="B36" s="1"/>
    </row>
    <row r="37" spans="2:2" x14ac:dyDescent="0.25">
      <c r="B37" s="1"/>
    </row>
    <row r="38" spans="2:2" x14ac:dyDescent="0.25">
      <c r="B38" s="1"/>
    </row>
    <row r="39" spans="2:2" x14ac:dyDescent="0.25">
      <c r="B39" s="1"/>
    </row>
    <row r="40" spans="2:2" x14ac:dyDescent="0.25">
      <c r="B40" s="1"/>
    </row>
    <row r="41" spans="2:2" x14ac:dyDescent="0.25">
      <c r="B41" s="1"/>
    </row>
    <row r="42" spans="2:2" x14ac:dyDescent="0.25">
      <c r="B42" s="1"/>
    </row>
    <row r="43" spans="2:2" x14ac:dyDescent="0.25">
      <c r="B43" s="1"/>
    </row>
    <row r="44" spans="2:2" x14ac:dyDescent="0.25">
      <c r="B44" s="1"/>
    </row>
    <row r="45" spans="2:2" x14ac:dyDescent="0.25">
      <c r="B45" s="1"/>
    </row>
    <row r="46" spans="2:2" x14ac:dyDescent="0.25">
      <c r="B46" s="1"/>
    </row>
    <row r="47" spans="2:2" x14ac:dyDescent="0.25">
      <c r="B47" s="1"/>
    </row>
    <row r="48" spans="2:2" x14ac:dyDescent="0.25">
      <c r="B48" s="1"/>
    </row>
    <row r="49" spans="2:2" x14ac:dyDescent="0.25">
      <c r="B49" s="1"/>
    </row>
    <row r="50" spans="2:2" x14ac:dyDescent="0.25">
      <c r="B50" s="1"/>
    </row>
    <row r="51" spans="2:2" x14ac:dyDescent="0.25">
      <c r="B51" s="1"/>
    </row>
    <row r="52" spans="2:2" x14ac:dyDescent="0.25">
      <c r="B52" s="1"/>
    </row>
    <row r="53" spans="2:2" x14ac:dyDescent="0.25">
      <c r="B53" s="1"/>
    </row>
    <row r="54" spans="2:2" x14ac:dyDescent="0.25">
      <c r="B54" s="1"/>
    </row>
    <row r="55" spans="2:2" x14ac:dyDescent="0.25">
      <c r="B55" s="1"/>
    </row>
    <row r="56" spans="2:2" x14ac:dyDescent="0.25">
      <c r="B56" s="1"/>
    </row>
    <row r="57" spans="2:2" x14ac:dyDescent="0.25">
      <c r="B57" s="1"/>
    </row>
    <row r="58" spans="2:2" x14ac:dyDescent="0.25">
      <c r="B58" s="1"/>
    </row>
    <row r="59" spans="2:2" x14ac:dyDescent="0.25">
      <c r="B59" s="1"/>
    </row>
    <row r="60" spans="2:2" x14ac:dyDescent="0.25">
      <c r="B60" s="1"/>
    </row>
    <row r="61" spans="2:2" x14ac:dyDescent="0.25">
      <c r="B61" s="1"/>
    </row>
    <row r="62" spans="2:2" x14ac:dyDescent="0.25">
      <c r="B62" s="1"/>
    </row>
    <row r="63" spans="2:2" x14ac:dyDescent="0.25">
      <c r="B63" s="1"/>
    </row>
    <row r="64" spans="2:2" x14ac:dyDescent="0.25">
      <c r="B64" s="1"/>
    </row>
    <row r="65" spans="2:2" x14ac:dyDescent="0.25">
      <c r="B65" s="1"/>
    </row>
    <row r="66" spans="2:2" x14ac:dyDescent="0.25">
      <c r="B66" s="1"/>
    </row>
    <row r="67" spans="2:2" x14ac:dyDescent="0.25">
      <c r="B67" s="1"/>
    </row>
    <row r="68" spans="2:2" x14ac:dyDescent="0.25">
      <c r="B68" s="1"/>
    </row>
    <row r="69" spans="2:2" x14ac:dyDescent="0.25">
      <c r="B69" s="1"/>
    </row>
    <row r="70" spans="2:2" x14ac:dyDescent="0.25">
      <c r="B70" s="1"/>
    </row>
    <row r="71" spans="2:2" x14ac:dyDescent="0.25">
      <c r="B71" s="1"/>
    </row>
    <row r="72" spans="2:2" x14ac:dyDescent="0.25">
      <c r="B72" s="1"/>
    </row>
    <row r="73" spans="2:2" x14ac:dyDescent="0.25">
      <c r="B73" s="1"/>
    </row>
    <row r="74" spans="2:2" x14ac:dyDescent="0.25">
      <c r="B74" s="1"/>
    </row>
    <row r="75" spans="2:2" x14ac:dyDescent="0.25">
      <c r="B75" s="1"/>
    </row>
    <row r="76" spans="2:2" x14ac:dyDescent="0.25">
      <c r="B76" s="1"/>
    </row>
    <row r="77" spans="2:2" x14ac:dyDescent="0.25">
      <c r="B77" s="1"/>
    </row>
    <row r="78" spans="2:2" x14ac:dyDescent="0.25">
      <c r="B78" s="1"/>
    </row>
    <row r="79" spans="2:2" x14ac:dyDescent="0.25">
      <c r="B79" s="1"/>
    </row>
    <row r="80" spans="2:2" x14ac:dyDescent="0.25">
      <c r="B80" s="1"/>
    </row>
    <row r="81" spans="2:2" x14ac:dyDescent="0.25">
      <c r="B81" s="1"/>
    </row>
    <row r="82" spans="2:2" x14ac:dyDescent="0.25">
      <c r="B82" s="1"/>
    </row>
    <row r="83" spans="2:2" x14ac:dyDescent="0.25">
      <c r="B83" s="1"/>
    </row>
    <row r="84" spans="2:2" x14ac:dyDescent="0.25">
      <c r="B84" s="1"/>
    </row>
    <row r="85" spans="2:2" x14ac:dyDescent="0.25">
      <c r="B85" s="1"/>
    </row>
    <row r="86" spans="2:2" x14ac:dyDescent="0.25">
      <c r="B86" s="1"/>
    </row>
    <row r="87" spans="2:2" x14ac:dyDescent="0.25">
      <c r="B87" s="1"/>
    </row>
    <row r="88" spans="2:2" x14ac:dyDescent="0.25">
      <c r="B88" s="1"/>
    </row>
    <row r="89" spans="2:2" x14ac:dyDescent="0.25">
      <c r="B89" s="1"/>
    </row>
    <row r="90" spans="2:2" x14ac:dyDescent="0.25">
      <c r="B90" s="1"/>
    </row>
    <row r="91" spans="2:2" x14ac:dyDescent="0.25">
      <c r="B91" s="1"/>
    </row>
    <row r="92" spans="2:2" x14ac:dyDescent="0.25">
      <c r="B92" s="1"/>
    </row>
    <row r="93" spans="2:2" x14ac:dyDescent="0.25">
      <c r="B93" s="1"/>
    </row>
    <row r="94" spans="2:2" x14ac:dyDescent="0.25">
      <c r="B94" s="1"/>
    </row>
    <row r="95" spans="2:2" x14ac:dyDescent="0.25">
      <c r="B95" s="1"/>
    </row>
    <row r="96" spans="2:2" x14ac:dyDescent="0.25">
      <c r="B96" s="1"/>
    </row>
    <row r="97" spans="2:2" x14ac:dyDescent="0.25">
      <c r="B97" s="1"/>
    </row>
    <row r="98" spans="2:2" x14ac:dyDescent="0.25">
      <c r="B98" s="1"/>
    </row>
    <row r="99" spans="2:2" x14ac:dyDescent="0.25">
      <c r="B99" s="1"/>
    </row>
    <row r="100" spans="2:2" x14ac:dyDescent="0.25">
      <c r="B100" s="1"/>
    </row>
    <row r="101" spans="2:2" x14ac:dyDescent="0.25">
      <c r="B101" s="1"/>
    </row>
    <row r="102" spans="2:2" x14ac:dyDescent="0.25">
      <c r="B102" s="1"/>
    </row>
    <row r="103" spans="2:2" x14ac:dyDescent="0.25">
      <c r="B103" s="1"/>
    </row>
    <row r="104" spans="2:2" x14ac:dyDescent="0.25">
      <c r="B104" s="1"/>
    </row>
    <row r="105" spans="2:2" x14ac:dyDescent="0.25">
      <c r="B105" s="1"/>
    </row>
    <row r="106" spans="2:2" x14ac:dyDescent="0.25">
      <c r="B106" s="1"/>
    </row>
    <row r="107" spans="2:2" x14ac:dyDescent="0.25">
      <c r="B107" s="1"/>
    </row>
    <row r="108" spans="2:2" x14ac:dyDescent="0.25">
      <c r="B108" s="1"/>
    </row>
    <row r="109" spans="2:2" x14ac:dyDescent="0.25">
      <c r="B109" s="1"/>
    </row>
    <row r="110" spans="2:2" x14ac:dyDescent="0.25">
      <c r="B110" s="1"/>
    </row>
    <row r="111" spans="2:2" x14ac:dyDescent="0.25">
      <c r="B111" s="1"/>
    </row>
    <row r="112" spans="2:2" x14ac:dyDescent="0.25">
      <c r="B112" s="1"/>
    </row>
    <row r="113" spans="2:2" x14ac:dyDescent="0.25">
      <c r="B113" s="1"/>
    </row>
    <row r="114" spans="2:2" x14ac:dyDescent="0.25">
      <c r="B114" s="1"/>
    </row>
    <row r="115" spans="2:2" x14ac:dyDescent="0.25">
      <c r="B115" s="1"/>
    </row>
    <row r="116" spans="2:2" x14ac:dyDescent="0.25">
      <c r="B116" s="1"/>
    </row>
    <row r="117" spans="2:2" x14ac:dyDescent="0.25">
      <c r="B117" s="1"/>
    </row>
    <row r="118" spans="2:2" x14ac:dyDescent="0.25">
      <c r="B118" s="1"/>
    </row>
    <row r="119" spans="2:2" x14ac:dyDescent="0.25">
      <c r="B119" s="1"/>
    </row>
    <row r="120" spans="2:2" x14ac:dyDescent="0.25">
      <c r="B120" s="1"/>
    </row>
    <row r="121" spans="2:2" x14ac:dyDescent="0.25">
      <c r="B121" s="1"/>
    </row>
    <row r="122" spans="2:2" x14ac:dyDescent="0.25">
      <c r="B122" s="1"/>
    </row>
    <row r="123" spans="2:2" x14ac:dyDescent="0.25">
      <c r="B123" s="1"/>
    </row>
    <row r="124" spans="2:2" x14ac:dyDescent="0.25">
      <c r="B124" s="1"/>
    </row>
    <row r="125" spans="2:2" x14ac:dyDescent="0.25">
      <c r="B125" s="1"/>
    </row>
    <row r="126" spans="2:2" x14ac:dyDescent="0.25">
      <c r="B126" s="1"/>
    </row>
    <row r="127" spans="2:2" x14ac:dyDescent="0.25">
      <c r="B127" s="1"/>
    </row>
    <row r="128" spans="2:2" x14ac:dyDescent="0.25">
      <c r="B128" s="1"/>
    </row>
    <row r="129" spans="2:2" x14ac:dyDescent="0.25">
      <c r="B129" s="1"/>
    </row>
    <row r="130" spans="2:2" x14ac:dyDescent="0.25">
      <c r="B130" s="1"/>
    </row>
    <row r="131" spans="2:2" x14ac:dyDescent="0.25">
      <c r="B131" s="1"/>
    </row>
    <row r="132" spans="2:2" x14ac:dyDescent="0.25">
      <c r="B132" s="1"/>
    </row>
    <row r="133" spans="2:2" x14ac:dyDescent="0.25">
      <c r="B133" s="1"/>
    </row>
    <row r="134" spans="2:2" x14ac:dyDescent="0.25">
      <c r="B134" s="1"/>
    </row>
    <row r="135" spans="2:2" x14ac:dyDescent="0.25">
      <c r="B135" s="1"/>
    </row>
    <row r="136" spans="2:2" x14ac:dyDescent="0.25">
      <c r="B136" s="1"/>
    </row>
    <row r="137" spans="2:2" x14ac:dyDescent="0.25">
      <c r="B137" s="1"/>
    </row>
    <row r="138" spans="2:2" x14ac:dyDescent="0.25">
      <c r="B138" s="1"/>
    </row>
    <row r="139" spans="2:2" x14ac:dyDescent="0.25">
      <c r="B139" s="1"/>
    </row>
    <row r="140" spans="2:2" x14ac:dyDescent="0.25">
      <c r="B140" s="1"/>
    </row>
    <row r="141" spans="2:2" x14ac:dyDescent="0.25">
      <c r="B141" s="1"/>
    </row>
    <row r="142" spans="2:2" x14ac:dyDescent="0.25">
      <c r="B142" s="1"/>
    </row>
    <row r="143" spans="2:2" x14ac:dyDescent="0.25">
      <c r="B143" s="1"/>
    </row>
    <row r="144" spans="2:2" x14ac:dyDescent="0.25">
      <c r="B144" s="1"/>
    </row>
    <row r="145" spans="2:2" x14ac:dyDescent="0.25">
      <c r="B145" s="1"/>
    </row>
    <row r="146" spans="2:2" x14ac:dyDescent="0.25">
      <c r="B146" s="1"/>
    </row>
    <row r="147" spans="2:2" x14ac:dyDescent="0.25">
      <c r="B147" s="1"/>
    </row>
    <row r="148" spans="2:2" x14ac:dyDescent="0.25">
      <c r="B148" s="1"/>
    </row>
    <row r="149" spans="2:2" x14ac:dyDescent="0.25">
      <c r="B149" s="1"/>
    </row>
    <row r="150" spans="2:2" x14ac:dyDescent="0.25">
      <c r="B150" s="1"/>
    </row>
    <row r="151" spans="2:2" x14ac:dyDescent="0.25">
      <c r="B151" s="1"/>
    </row>
    <row r="152" spans="2:2" x14ac:dyDescent="0.25">
      <c r="B152" s="1"/>
    </row>
    <row r="153" spans="2:2" x14ac:dyDescent="0.25">
      <c r="B153" s="1"/>
    </row>
    <row r="154" spans="2:2" x14ac:dyDescent="0.25">
      <c r="B154" s="1"/>
    </row>
    <row r="155" spans="2:2" x14ac:dyDescent="0.25">
      <c r="B155" s="1"/>
    </row>
    <row r="156" spans="2:2" x14ac:dyDescent="0.25">
      <c r="B156" s="1"/>
    </row>
    <row r="157" spans="2:2" x14ac:dyDescent="0.25">
      <c r="B157" s="1"/>
    </row>
    <row r="158" spans="2:2" x14ac:dyDescent="0.25">
      <c r="B158" s="1"/>
    </row>
    <row r="159" spans="2:2" x14ac:dyDescent="0.25">
      <c r="B159" s="1"/>
    </row>
    <row r="160" spans="2:2" x14ac:dyDescent="0.25">
      <c r="B160" s="1"/>
    </row>
    <row r="161" spans="2:2" x14ac:dyDescent="0.25">
      <c r="B161" s="1"/>
    </row>
    <row r="162" spans="2:2" x14ac:dyDescent="0.25">
      <c r="B162" s="1"/>
    </row>
    <row r="163" spans="2:2" x14ac:dyDescent="0.25">
      <c r="B163" s="1"/>
    </row>
    <row r="164" spans="2:2" x14ac:dyDescent="0.25">
      <c r="B164" s="1"/>
    </row>
    <row r="165" spans="2:2" x14ac:dyDescent="0.25">
      <c r="B165" s="1"/>
    </row>
    <row r="166" spans="2:2" x14ac:dyDescent="0.25">
      <c r="B166" s="1"/>
    </row>
    <row r="167" spans="2:2" x14ac:dyDescent="0.25">
      <c r="B167" s="1"/>
    </row>
    <row r="168" spans="2:2" x14ac:dyDescent="0.25">
      <c r="B168" s="1"/>
    </row>
    <row r="169" spans="2:2" x14ac:dyDescent="0.25">
      <c r="B169" s="1"/>
    </row>
    <row r="170" spans="2:2" x14ac:dyDescent="0.25">
      <c r="B170" s="1"/>
    </row>
    <row r="171" spans="2:2" x14ac:dyDescent="0.25">
      <c r="B171" s="1"/>
    </row>
    <row r="172" spans="2:2" x14ac:dyDescent="0.25">
      <c r="B172" s="1"/>
    </row>
    <row r="173" spans="2:2" x14ac:dyDescent="0.25">
      <c r="B173" s="1"/>
    </row>
    <row r="174" spans="2:2" x14ac:dyDescent="0.25">
      <c r="B174" s="1"/>
    </row>
    <row r="175" spans="2:2" x14ac:dyDescent="0.25">
      <c r="B175" s="1"/>
    </row>
    <row r="176" spans="2:2" x14ac:dyDescent="0.25">
      <c r="B176" s="1"/>
    </row>
    <row r="177" spans="2:2" x14ac:dyDescent="0.25">
      <c r="B177" s="1"/>
    </row>
    <row r="178" spans="2:2" x14ac:dyDescent="0.25">
      <c r="B178" s="1"/>
    </row>
    <row r="179" spans="2:2" x14ac:dyDescent="0.25">
      <c r="B179" s="1"/>
    </row>
    <row r="180" spans="2:2" x14ac:dyDescent="0.25">
      <c r="B180" s="1"/>
    </row>
    <row r="181" spans="2:2" x14ac:dyDescent="0.25">
      <c r="B181" s="1"/>
    </row>
    <row r="182" spans="2:2" x14ac:dyDescent="0.25">
      <c r="B182" s="1"/>
    </row>
    <row r="183" spans="2:2" x14ac:dyDescent="0.25">
      <c r="B183" s="1"/>
    </row>
    <row r="184" spans="2:2" x14ac:dyDescent="0.25">
      <c r="B184" s="1"/>
    </row>
    <row r="185" spans="2:2" x14ac:dyDescent="0.25">
      <c r="B185" s="1"/>
    </row>
    <row r="186" spans="2:2" x14ac:dyDescent="0.25">
      <c r="B186" s="1"/>
    </row>
    <row r="187" spans="2:2" x14ac:dyDescent="0.25">
      <c r="B187" s="1"/>
    </row>
    <row r="188" spans="2:2" x14ac:dyDescent="0.25">
      <c r="B188" s="1"/>
    </row>
    <row r="189" spans="2:2" x14ac:dyDescent="0.25">
      <c r="B189" s="1"/>
    </row>
    <row r="190" spans="2:2" x14ac:dyDescent="0.25">
      <c r="B190" s="1"/>
    </row>
    <row r="191" spans="2:2" x14ac:dyDescent="0.25">
      <c r="B191" s="1"/>
    </row>
    <row r="192" spans="2:2" x14ac:dyDescent="0.25">
      <c r="B192" s="1"/>
    </row>
    <row r="193" spans="2:2" x14ac:dyDescent="0.25">
      <c r="B193" s="1"/>
    </row>
    <row r="194" spans="2:2" x14ac:dyDescent="0.25">
      <c r="B194" s="1"/>
    </row>
    <row r="195" spans="2:2" x14ac:dyDescent="0.25">
      <c r="B195" s="1"/>
    </row>
    <row r="196" spans="2:2" x14ac:dyDescent="0.25">
      <c r="B196" s="1"/>
    </row>
    <row r="197" spans="2:2" x14ac:dyDescent="0.25">
      <c r="B197" s="1"/>
    </row>
    <row r="198" spans="2:2" x14ac:dyDescent="0.25">
      <c r="B198" s="1"/>
    </row>
    <row r="199" spans="2:2" x14ac:dyDescent="0.25">
      <c r="B199" s="1"/>
    </row>
    <row r="200" spans="2:2" x14ac:dyDescent="0.25">
      <c r="B200" s="1"/>
    </row>
    <row r="201" spans="2:2" x14ac:dyDescent="0.25">
      <c r="B201" s="1"/>
    </row>
    <row r="202" spans="2:2" x14ac:dyDescent="0.25">
      <c r="B202" s="1"/>
    </row>
    <row r="203" spans="2:2" x14ac:dyDescent="0.25">
      <c r="B203" s="1"/>
    </row>
    <row r="204" spans="2:2" x14ac:dyDescent="0.25">
      <c r="B204" s="1"/>
    </row>
    <row r="205" spans="2:2" x14ac:dyDescent="0.25">
      <c r="B205" s="1"/>
    </row>
    <row r="206" spans="2:2" x14ac:dyDescent="0.25">
      <c r="B206" s="1"/>
    </row>
    <row r="207" spans="2:2" x14ac:dyDescent="0.25">
      <c r="B207" s="1"/>
    </row>
    <row r="208" spans="2:2" x14ac:dyDescent="0.25">
      <c r="B208" s="1"/>
    </row>
    <row r="209" spans="2:2" x14ac:dyDescent="0.25">
      <c r="B209" s="1"/>
    </row>
    <row r="210" spans="2:2" x14ac:dyDescent="0.25">
      <c r="B210" s="1"/>
    </row>
    <row r="211" spans="2:2" x14ac:dyDescent="0.25">
      <c r="B211" s="1"/>
    </row>
    <row r="212" spans="2:2" x14ac:dyDescent="0.25">
      <c r="B212" s="1"/>
    </row>
    <row r="213" spans="2:2" x14ac:dyDescent="0.25">
      <c r="B213" s="1"/>
    </row>
    <row r="214" spans="2:2" x14ac:dyDescent="0.25">
      <c r="B214" s="1"/>
    </row>
    <row r="215" spans="2:2" x14ac:dyDescent="0.25">
      <c r="B215" s="1"/>
    </row>
    <row r="216" spans="2:2" x14ac:dyDescent="0.25">
      <c r="B216" s="1"/>
    </row>
    <row r="217" spans="2:2" x14ac:dyDescent="0.25">
      <c r="B217" s="1"/>
    </row>
    <row r="218" spans="2:2" x14ac:dyDescent="0.25">
      <c r="B218" s="1"/>
    </row>
    <row r="219" spans="2:2" x14ac:dyDescent="0.25">
      <c r="B219" s="1"/>
    </row>
    <row r="220" spans="2:2" x14ac:dyDescent="0.25">
      <c r="B220" s="1"/>
    </row>
    <row r="221" spans="2:2" x14ac:dyDescent="0.25">
      <c r="B221" s="1"/>
    </row>
    <row r="222" spans="2:2" x14ac:dyDescent="0.25">
      <c r="B222" s="1"/>
    </row>
    <row r="223" spans="2:2" x14ac:dyDescent="0.25">
      <c r="B223" s="1"/>
    </row>
    <row r="224" spans="2:2" x14ac:dyDescent="0.25">
      <c r="B224" s="1"/>
    </row>
    <row r="225" spans="2:2" x14ac:dyDescent="0.25">
      <c r="B225" s="1"/>
    </row>
    <row r="226" spans="2:2" x14ac:dyDescent="0.25">
      <c r="B226" s="1"/>
    </row>
    <row r="227" spans="2:2" x14ac:dyDescent="0.25">
      <c r="B227" s="1"/>
    </row>
    <row r="228" spans="2:2" x14ac:dyDescent="0.25">
      <c r="B228" s="1"/>
    </row>
    <row r="229" spans="2:2" x14ac:dyDescent="0.25">
      <c r="B229" s="1"/>
    </row>
    <row r="230" spans="2:2" x14ac:dyDescent="0.25">
      <c r="B230" s="1"/>
    </row>
    <row r="231" spans="2:2" x14ac:dyDescent="0.25">
      <c r="B231" s="1"/>
    </row>
    <row r="232" spans="2:2" x14ac:dyDescent="0.25">
      <c r="B232" s="1"/>
    </row>
    <row r="233" spans="2:2" x14ac:dyDescent="0.25">
      <c r="B233" s="1"/>
    </row>
    <row r="234" spans="2:2" x14ac:dyDescent="0.25">
      <c r="B234" s="1"/>
    </row>
    <row r="235" spans="2:2" x14ac:dyDescent="0.25">
      <c r="B235" s="1"/>
    </row>
    <row r="236" spans="2:2" x14ac:dyDescent="0.25">
      <c r="B236" s="1"/>
    </row>
    <row r="237" spans="2:2" x14ac:dyDescent="0.25">
      <c r="B237" s="1"/>
    </row>
    <row r="238" spans="2:2" x14ac:dyDescent="0.25">
      <c r="B238" s="1"/>
    </row>
    <row r="239" spans="2:2" x14ac:dyDescent="0.25">
      <c r="B239" s="1"/>
    </row>
    <row r="240" spans="2:2" x14ac:dyDescent="0.25">
      <c r="B240" s="1"/>
    </row>
    <row r="241" spans="2:2" x14ac:dyDescent="0.25">
      <c r="B241" s="1"/>
    </row>
    <row r="242" spans="2:2" x14ac:dyDescent="0.25">
      <c r="B242" s="1"/>
    </row>
    <row r="243" spans="2:2" x14ac:dyDescent="0.25">
      <c r="B243" s="1"/>
    </row>
    <row r="244" spans="2:2" x14ac:dyDescent="0.25">
      <c r="B244" s="1"/>
    </row>
    <row r="245" spans="2:2" x14ac:dyDescent="0.25">
      <c r="B245" s="1"/>
    </row>
    <row r="246" spans="2:2" x14ac:dyDescent="0.25">
      <c r="B246" s="1"/>
    </row>
    <row r="247" spans="2:2" x14ac:dyDescent="0.25">
      <c r="B247" s="1"/>
    </row>
    <row r="248" spans="2:2" x14ac:dyDescent="0.25">
      <c r="B248" s="1"/>
    </row>
    <row r="249" spans="2:2" x14ac:dyDescent="0.25">
      <c r="B249" s="1"/>
    </row>
    <row r="250" spans="2:2" x14ac:dyDescent="0.25">
      <c r="B250" s="1"/>
    </row>
    <row r="251" spans="2:2" x14ac:dyDescent="0.25">
      <c r="B251" s="1"/>
    </row>
    <row r="252" spans="2:2" x14ac:dyDescent="0.25">
      <c r="B252" s="1"/>
    </row>
    <row r="253" spans="2:2" x14ac:dyDescent="0.25">
      <c r="B253" s="1"/>
    </row>
    <row r="254" spans="2:2" x14ac:dyDescent="0.25">
      <c r="B254" s="1"/>
    </row>
    <row r="255" spans="2:2" x14ac:dyDescent="0.25">
      <c r="B255" s="1"/>
    </row>
    <row r="256" spans="2:2" x14ac:dyDescent="0.25">
      <c r="B256" s="1"/>
    </row>
    <row r="257" spans="2:2" x14ac:dyDescent="0.25">
      <c r="B257" s="1"/>
    </row>
    <row r="258" spans="2:2" x14ac:dyDescent="0.25">
      <c r="B258" s="1"/>
    </row>
    <row r="259" spans="2:2" x14ac:dyDescent="0.25">
      <c r="B259" s="1"/>
    </row>
    <row r="260" spans="2:2" x14ac:dyDescent="0.25">
      <c r="B260" s="1"/>
    </row>
    <row r="261" spans="2:2" x14ac:dyDescent="0.25">
      <c r="B261" s="1"/>
    </row>
    <row r="262" spans="2:2" x14ac:dyDescent="0.25">
      <c r="B262" s="1"/>
    </row>
    <row r="263" spans="2:2" x14ac:dyDescent="0.25">
      <c r="B263" s="1"/>
    </row>
    <row r="264" spans="2:2" x14ac:dyDescent="0.25">
      <c r="B264" s="1"/>
    </row>
    <row r="265" spans="2:2" x14ac:dyDescent="0.25">
      <c r="B265" s="1"/>
    </row>
    <row r="266" spans="2:2" x14ac:dyDescent="0.25">
      <c r="B266" s="1"/>
    </row>
    <row r="267" spans="2:2" x14ac:dyDescent="0.25">
      <c r="B267" s="1"/>
    </row>
    <row r="268" spans="2:2" x14ac:dyDescent="0.25">
      <c r="B268" s="1"/>
    </row>
    <row r="269" spans="2:2" x14ac:dyDescent="0.25">
      <c r="B269" s="1"/>
    </row>
    <row r="270" spans="2:2" x14ac:dyDescent="0.25">
      <c r="B270" s="1"/>
    </row>
    <row r="271" spans="2:2" x14ac:dyDescent="0.25">
      <c r="B271" s="1"/>
    </row>
    <row r="272" spans="2:2" x14ac:dyDescent="0.25">
      <c r="B272" s="1"/>
    </row>
    <row r="273" spans="2:2" x14ac:dyDescent="0.25">
      <c r="B273" s="1"/>
    </row>
    <row r="274" spans="2:2" x14ac:dyDescent="0.25">
      <c r="B274" s="1"/>
    </row>
    <row r="275" spans="2:2" x14ac:dyDescent="0.25">
      <c r="B275" s="1"/>
    </row>
    <row r="276" spans="2:2" x14ac:dyDescent="0.25">
      <c r="B276" s="1"/>
    </row>
    <row r="277" spans="2:2" x14ac:dyDescent="0.25">
      <c r="B277" s="1"/>
    </row>
    <row r="278" spans="2:2" x14ac:dyDescent="0.25">
      <c r="B278" s="1"/>
    </row>
    <row r="279" spans="2:2" x14ac:dyDescent="0.25">
      <c r="B279" s="1"/>
    </row>
    <row r="280" spans="2:2" x14ac:dyDescent="0.25">
      <c r="B280" s="1"/>
    </row>
    <row r="281" spans="2:2" x14ac:dyDescent="0.25">
      <c r="B281" s="1"/>
    </row>
    <row r="282" spans="2:2" x14ac:dyDescent="0.25">
      <c r="B282" s="1"/>
    </row>
    <row r="283" spans="2:2" x14ac:dyDescent="0.25">
      <c r="B283" s="1"/>
    </row>
    <row r="284" spans="2:2" x14ac:dyDescent="0.25">
      <c r="B284" s="1"/>
    </row>
    <row r="285" spans="2:2" x14ac:dyDescent="0.25">
      <c r="B285" s="1"/>
    </row>
    <row r="286" spans="2:2" x14ac:dyDescent="0.25">
      <c r="B286" s="1"/>
    </row>
    <row r="287" spans="2:2" x14ac:dyDescent="0.25">
      <c r="B287" s="1"/>
    </row>
    <row r="288" spans="2:2" x14ac:dyDescent="0.25">
      <c r="B288" s="1"/>
    </row>
    <row r="289" spans="2:2" x14ac:dyDescent="0.25">
      <c r="B289" s="1"/>
    </row>
    <row r="290" spans="2:2" x14ac:dyDescent="0.25">
      <c r="B290" s="1"/>
    </row>
    <row r="291" spans="2:2" x14ac:dyDescent="0.25">
      <c r="B291" s="1"/>
    </row>
    <row r="292" spans="2:2" x14ac:dyDescent="0.25">
      <c r="B292" s="1"/>
    </row>
    <row r="293" spans="2:2" x14ac:dyDescent="0.25">
      <c r="B293" s="1"/>
    </row>
    <row r="294" spans="2:2" x14ac:dyDescent="0.25">
      <c r="B294" s="1"/>
    </row>
    <row r="295" spans="2:2" x14ac:dyDescent="0.25">
      <c r="B295" s="1"/>
    </row>
    <row r="296" spans="2:2" x14ac:dyDescent="0.25">
      <c r="B296" s="1"/>
    </row>
    <row r="297" spans="2:2" x14ac:dyDescent="0.25">
      <c r="B297" s="1"/>
    </row>
    <row r="298" spans="2:2" x14ac:dyDescent="0.25">
      <c r="B298" s="1"/>
    </row>
    <row r="299" spans="2:2" x14ac:dyDescent="0.25">
      <c r="B299" s="1"/>
    </row>
    <row r="300" spans="2:2" x14ac:dyDescent="0.25">
      <c r="B300" s="1"/>
    </row>
    <row r="301" spans="2:2" x14ac:dyDescent="0.25">
      <c r="B301" s="1"/>
    </row>
    <row r="302" spans="2:2" x14ac:dyDescent="0.25">
      <c r="B302" s="1"/>
    </row>
    <row r="303" spans="2:2" x14ac:dyDescent="0.25">
      <c r="B303" s="1"/>
    </row>
    <row r="304" spans="2:2" x14ac:dyDescent="0.25">
      <c r="B304" s="1"/>
    </row>
    <row r="305" spans="2:2" x14ac:dyDescent="0.25">
      <c r="B305" s="1"/>
    </row>
    <row r="306" spans="2:2" x14ac:dyDescent="0.25">
      <c r="B306" s="1"/>
    </row>
    <row r="307" spans="2:2" x14ac:dyDescent="0.25">
      <c r="B307" s="1"/>
    </row>
    <row r="308" spans="2:2" x14ac:dyDescent="0.25">
      <c r="B308" s="1"/>
    </row>
    <row r="309" spans="2:2" x14ac:dyDescent="0.25">
      <c r="B309" s="1"/>
    </row>
    <row r="310" spans="2:2" x14ac:dyDescent="0.25">
      <c r="B310" s="1"/>
    </row>
    <row r="311" spans="2:2" x14ac:dyDescent="0.25">
      <c r="B311" s="1"/>
    </row>
    <row r="312" spans="2:2" x14ac:dyDescent="0.25">
      <c r="B312" s="1"/>
    </row>
    <row r="313" spans="2:2" x14ac:dyDescent="0.25">
      <c r="B313" s="1"/>
    </row>
    <row r="314" spans="2:2" x14ac:dyDescent="0.25">
      <c r="B314" s="1"/>
    </row>
    <row r="315" spans="2:2" x14ac:dyDescent="0.25">
      <c r="B315" s="1"/>
    </row>
    <row r="316" spans="2:2" x14ac:dyDescent="0.25">
      <c r="B316" s="1"/>
    </row>
    <row r="317" spans="2:2" x14ac:dyDescent="0.25">
      <c r="B317" s="1"/>
    </row>
    <row r="318" spans="2:2" x14ac:dyDescent="0.25">
      <c r="B318" s="1"/>
    </row>
    <row r="319" spans="2:2" x14ac:dyDescent="0.25">
      <c r="B319" s="1"/>
    </row>
    <row r="320" spans="2:2" x14ac:dyDescent="0.25">
      <c r="B320" s="1"/>
    </row>
    <row r="321" spans="2:2" x14ac:dyDescent="0.25">
      <c r="B321" s="1"/>
    </row>
    <row r="322" spans="2:2" x14ac:dyDescent="0.25">
      <c r="B322" s="1"/>
    </row>
    <row r="323" spans="2:2" x14ac:dyDescent="0.25">
      <c r="B323" s="1"/>
    </row>
    <row r="324" spans="2:2" x14ac:dyDescent="0.25">
      <c r="B324" s="1"/>
    </row>
    <row r="325" spans="2:2" x14ac:dyDescent="0.25">
      <c r="B325" s="1"/>
    </row>
    <row r="326" spans="2:2" x14ac:dyDescent="0.25">
      <c r="B326" s="1"/>
    </row>
    <row r="327" spans="2:2" x14ac:dyDescent="0.25">
      <c r="B327" s="1"/>
    </row>
    <row r="328" spans="2:2" x14ac:dyDescent="0.25">
      <c r="B328" s="1"/>
    </row>
    <row r="329" spans="2:2" x14ac:dyDescent="0.25">
      <c r="B329" s="1"/>
    </row>
    <row r="330" spans="2:2" x14ac:dyDescent="0.25">
      <c r="B330" s="1"/>
    </row>
    <row r="331" spans="2:2" x14ac:dyDescent="0.25">
      <c r="B331" s="1"/>
    </row>
    <row r="332" spans="2:2" x14ac:dyDescent="0.25">
      <c r="B332" s="1"/>
    </row>
    <row r="333" spans="2:2" x14ac:dyDescent="0.25">
      <c r="B333" s="1"/>
    </row>
    <row r="334" spans="2:2" x14ac:dyDescent="0.25">
      <c r="B334" s="1"/>
    </row>
    <row r="335" spans="2:2" x14ac:dyDescent="0.25">
      <c r="B335" s="1"/>
    </row>
    <row r="336" spans="2:2" x14ac:dyDescent="0.25">
      <c r="B336" s="1"/>
    </row>
    <row r="337" spans="2:2" x14ac:dyDescent="0.25">
      <c r="B337" s="1"/>
    </row>
    <row r="338" spans="2:2" x14ac:dyDescent="0.25">
      <c r="B338" s="1"/>
    </row>
    <row r="339" spans="2:2" x14ac:dyDescent="0.25">
      <c r="B339" s="1"/>
    </row>
    <row r="340" spans="2:2" x14ac:dyDescent="0.25">
      <c r="B340" s="1"/>
    </row>
    <row r="341" spans="2:2" x14ac:dyDescent="0.25">
      <c r="B341" s="1"/>
    </row>
    <row r="342" spans="2:2" x14ac:dyDescent="0.25">
      <c r="B342" s="1"/>
    </row>
    <row r="343" spans="2:2" x14ac:dyDescent="0.25">
      <c r="B343" s="1"/>
    </row>
    <row r="344" spans="2:2" x14ac:dyDescent="0.25">
      <c r="B344" s="1"/>
    </row>
    <row r="345" spans="2:2" x14ac:dyDescent="0.25">
      <c r="B345" s="1"/>
    </row>
    <row r="346" spans="2:2" x14ac:dyDescent="0.25">
      <c r="B346" s="1"/>
    </row>
    <row r="347" spans="2:2" x14ac:dyDescent="0.25">
      <c r="B347" s="1"/>
    </row>
    <row r="348" spans="2:2" x14ac:dyDescent="0.25">
      <c r="B348" s="1"/>
    </row>
    <row r="349" spans="2:2" x14ac:dyDescent="0.25">
      <c r="B349" s="1"/>
    </row>
    <row r="350" spans="2:2" x14ac:dyDescent="0.25">
      <c r="B350" s="1"/>
    </row>
    <row r="351" spans="2:2" x14ac:dyDescent="0.25">
      <c r="B351" s="1"/>
    </row>
    <row r="352" spans="2:2" x14ac:dyDescent="0.25">
      <c r="B352" s="1"/>
    </row>
    <row r="353" spans="2:2" x14ac:dyDescent="0.25">
      <c r="B353" s="1"/>
    </row>
    <row r="354" spans="2:2" x14ac:dyDescent="0.25">
      <c r="B354" s="1"/>
    </row>
    <row r="355" spans="2:2" x14ac:dyDescent="0.25">
      <c r="B355" s="1"/>
    </row>
    <row r="356" spans="2:2" x14ac:dyDescent="0.25">
      <c r="B356" s="1"/>
    </row>
    <row r="357" spans="2:2" x14ac:dyDescent="0.25">
      <c r="B357" s="1"/>
    </row>
    <row r="358" spans="2:2" x14ac:dyDescent="0.25">
      <c r="B358" s="1"/>
    </row>
    <row r="359" spans="2:2" x14ac:dyDescent="0.25">
      <c r="B359" s="1"/>
    </row>
    <row r="360" spans="2:2" x14ac:dyDescent="0.25">
      <c r="B360" s="1"/>
    </row>
    <row r="361" spans="2:2" x14ac:dyDescent="0.25">
      <c r="B361" s="1"/>
    </row>
    <row r="362" spans="2:2" x14ac:dyDescent="0.25">
      <c r="B362" s="1"/>
    </row>
    <row r="363" spans="2:2" x14ac:dyDescent="0.25">
      <c r="B363" s="1"/>
    </row>
    <row r="364" spans="2:2" x14ac:dyDescent="0.25">
      <c r="B364" s="1"/>
    </row>
    <row r="365" spans="2:2" x14ac:dyDescent="0.25">
      <c r="B365" s="1"/>
    </row>
    <row r="366" spans="2:2" x14ac:dyDescent="0.25">
      <c r="B366" s="1"/>
    </row>
    <row r="367" spans="2:2" x14ac:dyDescent="0.25">
      <c r="B367" s="1"/>
    </row>
    <row r="368" spans="2:2" x14ac:dyDescent="0.25">
      <c r="B368" s="1"/>
    </row>
    <row r="369" spans="2:2" x14ac:dyDescent="0.25">
      <c r="B369" s="1"/>
    </row>
    <row r="370" spans="2:2" x14ac:dyDescent="0.25">
      <c r="B370" s="1"/>
    </row>
    <row r="371" spans="2:2" x14ac:dyDescent="0.25">
      <c r="B371" s="1"/>
    </row>
    <row r="372" spans="2:2" x14ac:dyDescent="0.25">
      <c r="B372" s="1"/>
    </row>
    <row r="373" spans="2:2" x14ac:dyDescent="0.25">
      <c r="B373" s="1"/>
    </row>
    <row r="374" spans="2:2" x14ac:dyDescent="0.25">
      <c r="B374" s="1"/>
    </row>
    <row r="375" spans="2:2" x14ac:dyDescent="0.25">
      <c r="B375" s="1"/>
    </row>
    <row r="376" spans="2:2" x14ac:dyDescent="0.25">
      <c r="B376" s="1"/>
    </row>
    <row r="377" spans="2:2" x14ac:dyDescent="0.25">
      <c r="B377" s="1"/>
    </row>
    <row r="378" spans="2:2" x14ac:dyDescent="0.25">
      <c r="B378" s="1"/>
    </row>
    <row r="379" spans="2:2" x14ac:dyDescent="0.25">
      <c r="B379" s="1"/>
    </row>
    <row r="380" spans="2:2" x14ac:dyDescent="0.25">
      <c r="B380" s="1"/>
    </row>
    <row r="381" spans="2:2" x14ac:dyDescent="0.25">
      <c r="B381" s="1"/>
    </row>
    <row r="382" spans="2:2" x14ac:dyDescent="0.25">
      <c r="B382" s="1"/>
    </row>
    <row r="383" spans="2:2" x14ac:dyDescent="0.25">
      <c r="B383" s="1"/>
    </row>
    <row r="384" spans="2:2" x14ac:dyDescent="0.25">
      <c r="B384" s="1"/>
    </row>
    <row r="385" spans="2:2" x14ac:dyDescent="0.25">
      <c r="B385" s="1"/>
    </row>
    <row r="386" spans="2:2" x14ac:dyDescent="0.25">
      <c r="B386" s="1"/>
    </row>
    <row r="387" spans="2:2" x14ac:dyDescent="0.25">
      <c r="B387" s="1"/>
    </row>
    <row r="388" spans="2:2" x14ac:dyDescent="0.25">
      <c r="B388" s="1"/>
    </row>
    <row r="389" spans="2:2" x14ac:dyDescent="0.25">
      <c r="B389" s="1"/>
    </row>
    <row r="390" spans="2:2" x14ac:dyDescent="0.25">
      <c r="B390" s="1"/>
    </row>
    <row r="391" spans="2:2" x14ac:dyDescent="0.25">
      <c r="B391" s="1"/>
    </row>
    <row r="392" spans="2:2" x14ac:dyDescent="0.25">
      <c r="B392" s="1"/>
    </row>
    <row r="393" spans="2:2" x14ac:dyDescent="0.25">
      <c r="B393" s="1"/>
    </row>
    <row r="394" spans="2:2" x14ac:dyDescent="0.25">
      <c r="B394" s="1"/>
    </row>
    <row r="395" spans="2:2" x14ac:dyDescent="0.25">
      <c r="B395" s="1"/>
    </row>
    <row r="396" spans="2:2" x14ac:dyDescent="0.25">
      <c r="B396" s="1"/>
    </row>
    <row r="397" spans="2:2" x14ac:dyDescent="0.25">
      <c r="B397" s="1"/>
    </row>
    <row r="398" spans="2:2" x14ac:dyDescent="0.25">
      <c r="B398" s="1"/>
    </row>
    <row r="399" spans="2:2" x14ac:dyDescent="0.25">
      <c r="B399" s="1"/>
    </row>
    <row r="400" spans="2:2" x14ac:dyDescent="0.25">
      <c r="B400" s="1"/>
    </row>
    <row r="401" spans="2:2" x14ac:dyDescent="0.25">
      <c r="B401" s="1"/>
    </row>
    <row r="402" spans="2:2" x14ac:dyDescent="0.25">
      <c r="B402" s="1"/>
    </row>
    <row r="403" spans="2:2" x14ac:dyDescent="0.25">
      <c r="B403" s="1"/>
    </row>
    <row r="404" spans="2:2" x14ac:dyDescent="0.25">
      <c r="B404" s="1"/>
    </row>
    <row r="405" spans="2:2" x14ac:dyDescent="0.25">
      <c r="B405" s="1"/>
    </row>
    <row r="406" spans="2:2" x14ac:dyDescent="0.25">
      <c r="B406" s="1"/>
    </row>
    <row r="407" spans="2:2" x14ac:dyDescent="0.25">
      <c r="B407" s="1"/>
    </row>
    <row r="408" spans="2:2" x14ac:dyDescent="0.25">
      <c r="B408" s="1"/>
    </row>
    <row r="409" spans="2:2" x14ac:dyDescent="0.25">
      <c r="B409" s="1"/>
    </row>
    <row r="410" spans="2:2" x14ac:dyDescent="0.25">
      <c r="B410" s="1"/>
    </row>
    <row r="411" spans="2:2" x14ac:dyDescent="0.25">
      <c r="B411" s="1"/>
    </row>
    <row r="412" spans="2:2" x14ac:dyDescent="0.25">
      <c r="B412" s="1"/>
    </row>
    <row r="413" spans="2:2" x14ac:dyDescent="0.25">
      <c r="B413" s="1"/>
    </row>
    <row r="414" spans="2:2" x14ac:dyDescent="0.25">
      <c r="B414" s="1"/>
    </row>
    <row r="415" spans="2:2" x14ac:dyDescent="0.25">
      <c r="B415" s="1"/>
    </row>
    <row r="416" spans="2:2" x14ac:dyDescent="0.25">
      <c r="B416" s="1"/>
    </row>
    <row r="417" spans="2:2" x14ac:dyDescent="0.25">
      <c r="B417" s="1"/>
    </row>
    <row r="418" spans="2:2" x14ac:dyDescent="0.25">
      <c r="B418" s="1"/>
    </row>
    <row r="419" spans="2:2" x14ac:dyDescent="0.25">
      <c r="B419" s="1"/>
    </row>
    <row r="420" spans="2:2" x14ac:dyDescent="0.25">
      <c r="B420" s="1"/>
    </row>
    <row r="421" spans="2:2" x14ac:dyDescent="0.25">
      <c r="B421" s="1"/>
    </row>
    <row r="422" spans="2:2" x14ac:dyDescent="0.25">
      <c r="B422" s="1"/>
    </row>
    <row r="423" spans="2:2" x14ac:dyDescent="0.25">
      <c r="B423" s="1"/>
    </row>
    <row r="424" spans="2:2" x14ac:dyDescent="0.25">
      <c r="B424" s="1"/>
    </row>
    <row r="425" spans="2:2" x14ac:dyDescent="0.25">
      <c r="B425" s="1"/>
    </row>
    <row r="426" spans="2:2" x14ac:dyDescent="0.25">
      <c r="B426" s="1"/>
    </row>
    <row r="427" spans="2:2" x14ac:dyDescent="0.25">
      <c r="B427" s="1"/>
    </row>
    <row r="428" spans="2:2" x14ac:dyDescent="0.25">
      <c r="B428" s="1"/>
    </row>
    <row r="429" spans="2:2" x14ac:dyDescent="0.25">
      <c r="B429" s="1"/>
    </row>
    <row r="430" spans="2:2" x14ac:dyDescent="0.25">
      <c r="B430" s="1"/>
    </row>
    <row r="431" spans="2:2" x14ac:dyDescent="0.25">
      <c r="B431" s="1"/>
    </row>
    <row r="432" spans="2:2" x14ac:dyDescent="0.25">
      <c r="B432" s="1"/>
    </row>
    <row r="433" spans="2:2" x14ac:dyDescent="0.25">
      <c r="B433" s="1"/>
    </row>
    <row r="434" spans="2:2" x14ac:dyDescent="0.25">
      <c r="B434" s="1"/>
    </row>
    <row r="435" spans="2:2" x14ac:dyDescent="0.25">
      <c r="B435" s="1"/>
    </row>
    <row r="436" spans="2:2" x14ac:dyDescent="0.25">
      <c r="B436" s="1"/>
    </row>
    <row r="437" spans="2:2" x14ac:dyDescent="0.25">
      <c r="B437" s="1"/>
    </row>
    <row r="438" spans="2:2" x14ac:dyDescent="0.25">
      <c r="B438" s="1"/>
    </row>
    <row r="439" spans="2:2" x14ac:dyDescent="0.25">
      <c r="B439" s="1"/>
    </row>
    <row r="440" spans="2:2" x14ac:dyDescent="0.25">
      <c r="B440" s="1"/>
    </row>
    <row r="441" spans="2:2" x14ac:dyDescent="0.25">
      <c r="B441" s="1"/>
    </row>
    <row r="442" spans="2:2" x14ac:dyDescent="0.25">
      <c r="B442" s="1"/>
    </row>
    <row r="443" spans="2:2" x14ac:dyDescent="0.25">
      <c r="B443" s="1"/>
    </row>
    <row r="444" spans="2:2" x14ac:dyDescent="0.25">
      <c r="B444" s="1"/>
    </row>
    <row r="445" spans="2:2" x14ac:dyDescent="0.25">
      <c r="B445" s="1"/>
    </row>
    <row r="446" spans="2:2" x14ac:dyDescent="0.25">
      <c r="B446" s="1"/>
    </row>
    <row r="447" spans="2:2" x14ac:dyDescent="0.25">
      <c r="B447" s="1"/>
    </row>
    <row r="448" spans="2:2" x14ac:dyDescent="0.25">
      <c r="B448" s="1"/>
    </row>
    <row r="449" spans="2:2" x14ac:dyDescent="0.25">
      <c r="B449" s="1"/>
    </row>
    <row r="450" spans="2:2" x14ac:dyDescent="0.25">
      <c r="B450" s="1"/>
    </row>
    <row r="451" spans="2:2" x14ac:dyDescent="0.25">
      <c r="B451" s="1"/>
    </row>
    <row r="452" spans="2:2" x14ac:dyDescent="0.25">
      <c r="B452" s="1"/>
    </row>
    <row r="453" spans="2:2" x14ac:dyDescent="0.25">
      <c r="B453" s="1"/>
    </row>
    <row r="454" spans="2:2" x14ac:dyDescent="0.25">
      <c r="B454" s="1"/>
    </row>
    <row r="455" spans="2:2" x14ac:dyDescent="0.25">
      <c r="B455" s="1"/>
    </row>
    <row r="456" spans="2:2" x14ac:dyDescent="0.25">
      <c r="B456" s="1"/>
    </row>
    <row r="457" spans="2:2" x14ac:dyDescent="0.25">
      <c r="B457" s="1"/>
    </row>
    <row r="458" spans="2:2" x14ac:dyDescent="0.25">
      <c r="B458" s="1"/>
    </row>
    <row r="459" spans="2:2" x14ac:dyDescent="0.25">
      <c r="B459" s="1"/>
    </row>
    <row r="460" spans="2:2" x14ac:dyDescent="0.25">
      <c r="B460" s="1"/>
    </row>
    <row r="461" spans="2:2" x14ac:dyDescent="0.25">
      <c r="B461" s="1"/>
    </row>
    <row r="462" spans="2:2" x14ac:dyDescent="0.25">
      <c r="B462" s="1"/>
    </row>
    <row r="463" spans="2:2" x14ac:dyDescent="0.25">
      <c r="B463" s="1"/>
    </row>
    <row r="464" spans="2:2" x14ac:dyDescent="0.25">
      <c r="B464" s="1"/>
    </row>
    <row r="465" spans="2:2" x14ac:dyDescent="0.25">
      <c r="B465" s="1"/>
    </row>
    <row r="466" spans="2:2" x14ac:dyDescent="0.25">
      <c r="B466" s="1"/>
    </row>
    <row r="467" spans="2:2" x14ac:dyDescent="0.25">
      <c r="B467" s="1"/>
    </row>
    <row r="468" spans="2:2" x14ac:dyDescent="0.25">
      <c r="B468" s="1"/>
    </row>
    <row r="469" spans="2:2" x14ac:dyDescent="0.25">
      <c r="B469" s="1"/>
    </row>
    <row r="470" spans="2:2" x14ac:dyDescent="0.25">
      <c r="B470" s="1"/>
    </row>
    <row r="471" spans="2:2" x14ac:dyDescent="0.25">
      <c r="B471" s="1"/>
    </row>
    <row r="472" spans="2:2" x14ac:dyDescent="0.25">
      <c r="B472" s="1"/>
    </row>
    <row r="473" spans="2:2" x14ac:dyDescent="0.25">
      <c r="B473" s="1"/>
    </row>
    <row r="474" spans="2:2" x14ac:dyDescent="0.25">
      <c r="B474" s="1"/>
    </row>
    <row r="475" spans="2:2" x14ac:dyDescent="0.25">
      <c r="B475" s="1"/>
    </row>
    <row r="476" spans="2:2" x14ac:dyDescent="0.25">
      <c r="B476" s="1"/>
    </row>
    <row r="477" spans="2:2" x14ac:dyDescent="0.25">
      <c r="B477" s="1"/>
    </row>
    <row r="478" spans="2:2" x14ac:dyDescent="0.25">
      <c r="B478" s="1"/>
    </row>
    <row r="479" spans="2:2" x14ac:dyDescent="0.25">
      <c r="B479" s="1"/>
    </row>
    <row r="480" spans="2:2" x14ac:dyDescent="0.25">
      <c r="B480" s="1"/>
    </row>
    <row r="481" spans="2:2" x14ac:dyDescent="0.25">
      <c r="B481" s="1"/>
    </row>
    <row r="482" spans="2:2" x14ac:dyDescent="0.25">
      <c r="B482" s="1"/>
    </row>
    <row r="483" spans="2:2" x14ac:dyDescent="0.25">
      <c r="B483" s="1"/>
    </row>
    <row r="484" spans="2:2" x14ac:dyDescent="0.25">
      <c r="B484" s="1"/>
    </row>
    <row r="485" spans="2:2" x14ac:dyDescent="0.25">
      <c r="B485" s="1"/>
    </row>
    <row r="486" spans="2:2" x14ac:dyDescent="0.25">
      <c r="B486" s="1"/>
    </row>
    <row r="487" spans="2:2" x14ac:dyDescent="0.25">
      <c r="B487" s="1"/>
    </row>
    <row r="488" spans="2:2" x14ac:dyDescent="0.25">
      <c r="B488" s="1"/>
    </row>
    <row r="489" spans="2:2" x14ac:dyDescent="0.25">
      <c r="B489" s="1"/>
    </row>
    <row r="490" spans="2:2" x14ac:dyDescent="0.25">
      <c r="B490" s="1"/>
    </row>
    <row r="491" spans="2:2" x14ac:dyDescent="0.25">
      <c r="B491" s="1"/>
    </row>
    <row r="492" spans="2:2" x14ac:dyDescent="0.25">
      <c r="B492" s="1"/>
    </row>
    <row r="493" spans="2:2" x14ac:dyDescent="0.25">
      <c r="B493" s="1"/>
    </row>
    <row r="494" spans="2:2" x14ac:dyDescent="0.25">
      <c r="B494" s="1"/>
    </row>
    <row r="495" spans="2:2" x14ac:dyDescent="0.25">
      <c r="B495" s="1"/>
    </row>
    <row r="496" spans="2:2" x14ac:dyDescent="0.25">
      <c r="B496" s="1"/>
    </row>
    <row r="497" spans="2:2" x14ac:dyDescent="0.25">
      <c r="B497" s="1"/>
    </row>
    <row r="498" spans="2:2" x14ac:dyDescent="0.25">
      <c r="B498" s="1"/>
    </row>
    <row r="499" spans="2:2" x14ac:dyDescent="0.25">
      <c r="B499" s="1"/>
    </row>
    <row r="500" spans="2:2" x14ac:dyDescent="0.25">
      <c r="B500" s="1"/>
    </row>
    <row r="501" spans="2:2" x14ac:dyDescent="0.25">
      <c r="B501" s="1"/>
    </row>
    <row r="502" spans="2:2" x14ac:dyDescent="0.25">
      <c r="B502" s="1"/>
    </row>
    <row r="503" spans="2:2" x14ac:dyDescent="0.25">
      <c r="B503" s="1"/>
    </row>
    <row r="504" spans="2:2" x14ac:dyDescent="0.25">
      <c r="B504" s="1"/>
    </row>
    <row r="505" spans="2:2" x14ac:dyDescent="0.25">
      <c r="B505" s="1"/>
    </row>
    <row r="506" spans="2:2" x14ac:dyDescent="0.25">
      <c r="B506" s="1"/>
    </row>
    <row r="507" spans="2:2" x14ac:dyDescent="0.25">
      <c r="B507" s="1"/>
    </row>
    <row r="508" spans="2:2" x14ac:dyDescent="0.25">
      <c r="B508" s="1"/>
    </row>
    <row r="509" spans="2:2" x14ac:dyDescent="0.25">
      <c r="B509" s="1"/>
    </row>
    <row r="510" spans="2:2" x14ac:dyDescent="0.25">
      <c r="B510" s="1"/>
    </row>
    <row r="511" spans="2:2" x14ac:dyDescent="0.25">
      <c r="B511" s="1"/>
    </row>
    <row r="512" spans="2:2" x14ac:dyDescent="0.25">
      <c r="B512" s="1"/>
    </row>
    <row r="513" spans="2:2" x14ac:dyDescent="0.25">
      <c r="B513" s="1"/>
    </row>
    <row r="514" spans="2:2" x14ac:dyDescent="0.25">
      <c r="B514" s="1"/>
    </row>
    <row r="515" spans="2:2" x14ac:dyDescent="0.25">
      <c r="B515" s="1"/>
    </row>
    <row r="516" spans="2:2" x14ac:dyDescent="0.25">
      <c r="B516" s="1"/>
    </row>
    <row r="517" spans="2:2" x14ac:dyDescent="0.25">
      <c r="B517" s="1"/>
    </row>
    <row r="518" spans="2:2" x14ac:dyDescent="0.25">
      <c r="B518" s="1"/>
    </row>
    <row r="519" spans="2:2" x14ac:dyDescent="0.25">
      <c r="B519" s="1"/>
    </row>
    <row r="520" spans="2:2" x14ac:dyDescent="0.25">
      <c r="B520" s="1"/>
    </row>
    <row r="521" spans="2:2" x14ac:dyDescent="0.25">
      <c r="B521" s="1"/>
    </row>
    <row r="522" spans="2:2" x14ac:dyDescent="0.25">
      <c r="B522" s="1"/>
    </row>
    <row r="523" spans="2:2" x14ac:dyDescent="0.25">
      <c r="B523" s="1"/>
    </row>
    <row r="524" spans="2:2" x14ac:dyDescent="0.25">
      <c r="B524" s="1"/>
    </row>
    <row r="525" spans="2:2" x14ac:dyDescent="0.25">
      <c r="B525" s="1"/>
    </row>
    <row r="526" spans="2:2" x14ac:dyDescent="0.25">
      <c r="B526" s="1"/>
    </row>
    <row r="527" spans="2:2" x14ac:dyDescent="0.25">
      <c r="B527" s="1"/>
    </row>
    <row r="528" spans="2:2" x14ac:dyDescent="0.25">
      <c r="B528" s="1"/>
    </row>
    <row r="529" spans="2:2" x14ac:dyDescent="0.25">
      <c r="B529" s="1"/>
    </row>
    <row r="530" spans="2:2" x14ac:dyDescent="0.25">
      <c r="B530" s="1"/>
    </row>
    <row r="531" spans="2:2" x14ac:dyDescent="0.25">
      <c r="B531" s="1"/>
    </row>
    <row r="532" spans="2:2" x14ac:dyDescent="0.25">
      <c r="B532" s="1"/>
    </row>
    <row r="533" spans="2:2" x14ac:dyDescent="0.25">
      <c r="B533" s="1"/>
    </row>
    <row r="534" spans="2:2" x14ac:dyDescent="0.25">
      <c r="B534" s="1"/>
    </row>
    <row r="535" spans="2:2" x14ac:dyDescent="0.25">
      <c r="B535" s="1"/>
    </row>
    <row r="536" spans="2:2" x14ac:dyDescent="0.25">
      <c r="B536" s="1"/>
    </row>
    <row r="537" spans="2:2" x14ac:dyDescent="0.25">
      <c r="B537" s="1"/>
    </row>
    <row r="538" spans="2:2" x14ac:dyDescent="0.25">
      <c r="B538" s="1"/>
    </row>
    <row r="539" spans="2:2" x14ac:dyDescent="0.25">
      <c r="B539" s="1"/>
    </row>
    <row r="540" spans="2:2" x14ac:dyDescent="0.25">
      <c r="B540" s="1"/>
    </row>
    <row r="541" spans="2:2" x14ac:dyDescent="0.25">
      <c r="B541" s="1"/>
    </row>
    <row r="542" spans="2:2" x14ac:dyDescent="0.25">
      <c r="B542" s="1"/>
    </row>
    <row r="543" spans="2:2" x14ac:dyDescent="0.25">
      <c r="B543" s="1"/>
    </row>
    <row r="544" spans="2:2" x14ac:dyDescent="0.25">
      <c r="B544" s="1"/>
    </row>
    <row r="545" spans="2:2" x14ac:dyDescent="0.25">
      <c r="B545" s="1"/>
    </row>
    <row r="546" spans="2:2" x14ac:dyDescent="0.25">
      <c r="B546" s="1"/>
    </row>
    <row r="547" spans="2:2" x14ac:dyDescent="0.25">
      <c r="B547" s="1"/>
    </row>
    <row r="548" spans="2:2" x14ac:dyDescent="0.25">
      <c r="B548" s="1"/>
    </row>
    <row r="549" spans="2:2" x14ac:dyDescent="0.25">
      <c r="B549" s="1"/>
    </row>
    <row r="550" spans="2:2" x14ac:dyDescent="0.25">
      <c r="B550" s="1"/>
    </row>
    <row r="551" spans="2:2" x14ac:dyDescent="0.25">
      <c r="B551" s="1"/>
    </row>
    <row r="552" spans="2:2" x14ac:dyDescent="0.25">
      <c r="B552" s="1"/>
    </row>
    <row r="553" spans="2:2" x14ac:dyDescent="0.25">
      <c r="B553" s="1"/>
    </row>
    <row r="554" spans="2:2" x14ac:dyDescent="0.25">
      <c r="B554" s="1"/>
    </row>
    <row r="555" spans="2:2" x14ac:dyDescent="0.25">
      <c r="B555" s="1"/>
    </row>
    <row r="556" spans="2:2" x14ac:dyDescent="0.25">
      <c r="B556" s="1"/>
    </row>
    <row r="557" spans="2:2" x14ac:dyDescent="0.25">
      <c r="B557" s="1"/>
    </row>
    <row r="558" spans="2:2" x14ac:dyDescent="0.25">
      <c r="B558" s="1"/>
    </row>
    <row r="559" spans="2:2" x14ac:dyDescent="0.25">
      <c r="B559" s="1"/>
    </row>
    <row r="560" spans="2:2" x14ac:dyDescent="0.25">
      <c r="B560" s="1"/>
    </row>
    <row r="561" spans="2:2" x14ac:dyDescent="0.25">
      <c r="B561" s="1"/>
    </row>
    <row r="562" spans="2:2" x14ac:dyDescent="0.25">
      <c r="B562" s="1"/>
    </row>
    <row r="563" spans="2:2" x14ac:dyDescent="0.25">
      <c r="B563" s="1"/>
    </row>
    <row r="564" spans="2:2" x14ac:dyDescent="0.25">
      <c r="B564" s="1"/>
    </row>
    <row r="565" spans="2:2" x14ac:dyDescent="0.25">
      <c r="B565" s="1"/>
    </row>
    <row r="566" spans="2:2" x14ac:dyDescent="0.25">
      <c r="B566" s="1"/>
    </row>
    <row r="567" spans="2:2" x14ac:dyDescent="0.25">
      <c r="B567" s="1"/>
    </row>
    <row r="568" spans="2:2" x14ac:dyDescent="0.25">
      <c r="B568" s="1"/>
    </row>
    <row r="569" spans="2:2" x14ac:dyDescent="0.25">
      <c r="B569" s="1"/>
    </row>
    <row r="570" spans="2:2" x14ac:dyDescent="0.25">
      <c r="B570" s="1"/>
    </row>
    <row r="571" spans="2:2" x14ac:dyDescent="0.25">
      <c r="B571" s="1"/>
    </row>
    <row r="572" spans="2:2" x14ac:dyDescent="0.25">
      <c r="B572" s="1"/>
    </row>
    <row r="573" spans="2:2" x14ac:dyDescent="0.25">
      <c r="B573" s="1"/>
    </row>
    <row r="574" spans="2:2" x14ac:dyDescent="0.25">
      <c r="B574" s="1"/>
    </row>
    <row r="575" spans="2:2" x14ac:dyDescent="0.25">
      <c r="B575" s="1"/>
    </row>
    <row r="576" spans="2:2" x14ac:dyDescent="0.25">
      <c r="B576" s="1"/>
    </row>
    <row r="577" spans="2:2" x14ac:dyDescent="0.25">
      <c r="B577" s="1"/>
    </row>
    <row r="578" spans="2:2" x14ac:dyDescent="0.25">
      <c r="B578" s="1"/>
    </row>
    <row r="579" spans="2:2" x14ac:dyDescent="0.25">
      <c r="B579" s="1"/>
    </row>
    <row r="580" spans="2:2" x14ac:dyDescent="0.25">
      <c r="B580" s="1"/>
    </row>
    <row r="581" spans="2:2" x14ac:dyDescent="0.25">
      <c r="B581" s="1"/>
    </row>
    <row r="582" spans="2:2" x14ac:dyDescent="0.25">
      <c r="B582" s="1"/>
    </row>
    <row r="583" spans="2:2" x14ac:dyDescent="0.25">
      <c r="B583" s="1"/>
    </row>
    <row r="584" spans="2:2" x14ac:dyDescent="0.25">
      <c r="B584" s="1"/>
    </row>
    <row r="585" spans="2:2" x14ac:dyDescent="0.25">
      <c r="B585" s="1"/>
    </row>
    <row r="586" spans="2:2" x14ac:dyDescent="0.25">
      <c r="B586" s="1"/>
    </row>
    <row r="587" spans="2:2" x14ac:dyDescent="0.25">
      <c r="B587" s="1"/>
    </row>
    <row r="588" spans="2:2" x14ac:dyDescent="0.25">
      <c r="B588" s="1"/>
    </row>
    <row r="589" spans="2:2" x14ac:dyDescent="0.25">
      <c r="B589" s="1"/>
    </row>
    <row r="590" spans="2:2" x14ac:dyDescent="0.25">
      <c r="B590" s="1"/>
    </row>
    <row r="591" spans="2:2" x14ac:dyDescent="0.25">
      <c r="B591" s="1"/>
    </row>
    <row r="592" spans="2:2" x14ac:dyDescent="0.25">
      <c r="B592" s="1"/>
    </row>
    <row r="593" spans="2:2" x14ac:dyDescent="0.25">
      <c r="B593" s="1"/>
    </row>
    <row r="594" spans="2:2" x14ac:dyDescent="0.25">
      <c r="B594" s="1"/>
    </row>
    <row r="595" spans="2:2" x14ac:dyDescent="0.25">
      <c r="B595" s="1"/>
    </row>
    <row r="596" spans="2:2" x14ac:dyDescent="0.25">
      <c r="B596" s="1"/>
    </row>
    <row r="597" spans="2:2" x14ac:dyDescent="0.25">
      <c r="B597" s="1"/>
    </row>
    <row r="598" spans="2:2" x14ac:dyDescent="0.25">
      <c r="B598" s="1"/>
    </row>
    <row r="599" spans="2:2" x14ac:dyDescent="0.25">
      <c r="B599" s="1"/>
    </row>
    <row r="600" spans="2:2" x14ac:dyDescent="0.25">
      <c r="B600" s="1"/>
    </row>
    <row r="601" spans="2:2" x14ac:dyDescent="0.25">
      <c r="B601" s="1"/>
    </row>
    <row r="602" spans="2:2" x14ac:dyDescent="0.25">
      <c r="B602" s="1"/>
    </row>
    <row r="603" spans="2:2" x14ac:dyDescent="0.25">
      <c r="B603" s="1"/>
    </row>
    <row r="604" spans="2:2" x14ac:dyDescent="0.25">
      <c r="B604" s="1"/>
    </row>
    <row r="605" spans="2:2" x14ac:dyDescent="0.25">
      <c r="B605" s="1"/>
    </row>
    <row r="606" spans="2:2" x14ac:dyDescent="0.25">
      <c r="B606" s="1"/>
    </row>
    <row r="607" spans="2:2" x14ac:dyDescent="0.25">
      <c r="B607" s="1"/>
    </row>
    <row r="608" spans="2:2" x14ac:dyDescent="0.25">
      <c r="B608" s="1"/>
    </row>
    <row r="609" spans="2:2" x14ac:dyDescent="0.25">
      <c r="B609" s="1"/>
    </row>
    <row r="610" spans="2:2" x14ac:dyDescent="0.25">
      <c r="B610" s="1"/>
    </row>
    <row r="611" spans="2:2" x14ac:dyDescent="0.25">
      <c r="B611" s="1"/>
    </row>
    <row r="612" spans="2:2" x14ac:dyDescent="0.25">
      <c r="B612" s="1"/>
    </row>
    <row r="613" spans="2:2" x14ac:dyDescent="0.25">
      <c r="B613" s="1"/>
    </row>
    <row r="614" spans="2:2" x14ac:dyDescent="0.25">
      <c r="B614" s="1"/>
    </row>
    <row r="615" spans="2:2" x14ac:dyDescent="0.25">
      <c r="B615" s="1"/>
    </row>
    <row r="616" spans="2:2" x14ac:dyDescent="0.25">
      <c r="B616" s="1"/>
    </row>
    <row r="617" spans="2:2" x14ac:dyDescent="0.25">
      <c r="B617" s="1"/>
    </row>
    <row r="618" spans="2:2" x14ac:dyDescent="0.25">
      <c r="B618" s="1"/>
    </row>
    <row r="619" spans="2:2" x14ac:dyDescent="0.25">
      <c r="B619" s="1"/>
    </row>
    <row r="620" spans="2:2" x14ac:dyDescent="0.25">
      <c r="B620" s="1"/>
    </row>
    <row r="621" spans="2:2" x14ac:dyDescent="0.25">
      <c r="B621" s="1"/>
    </row>
    <row r="622" spans="2:2" x14ac:dyDescent="0.25">
      <c r="B622" s="1"/>
    </row>
    <row r="623" spans="2:2" x14ac:dyDescent="0.25">
      <c r="B623" s="1"/>
    </row>
    <row r="624" spans="2:2" x14ac:dyDescent="0.25">
      <c r="B624" s="1"/>
    </row>
    <row r="625" spans="2:2" x14ac:dyDescent="0.25">
      <c r="B625" s="1"/>
    </row>
    <row r="626" spans="2:2" x14ac:dyDescent="0.25">
      <c r="B626" s="1"/>
    </row>
    <row r="627" spans="2:2" x14ac:dyDescent="0.25">
      <c r="B627" s="1"/>
    </row>
    <row r="628" spans="2:2" x14ac:dyDescent="0.25">
      <c r="B628" s="1"/>
    </row>
    <row r="629" spans="2:2" x14ac:dyDescent="0.25">
      <c r="B629" s="1"/>
    </row>
    <row r="630" spans="2:2" x14ac:dyDescent="0.25">
      <c r="B630" s="1"/>
    </row>
    <row r="631" spans="2:2" x14ac:dyDescent="0.25">
      <c r="B631" s="1"/>
    </row>
    <row r="632" spans="2:2" x14ac:dyDescent="0.25">
      <c r="B632" s="1"/>
    </row>
    <row r="633" spans="2:2" x14ac:dyDescent="0.25">
      <c r="B633" s="1"/>
    </row>
    <row r="634" spans="2:2" x14ac:dyDescent="0.25">
      <c r="B634" s="1"/>
    </row>
    <row r="635" spans="2:2" x14ac:dyDescent="0.25">
      <c r="B635" s="1"/>
    </row>
    <row r="636" spans="2:2" x14ac:dyDescent="0.25">
      <c r="B636" s="1"/>
    </row>
    <row r="637" spans="2:2" x14ac:dyDescent="0.25">
      <c r="B637" s="1"/>
    </row>
    <row r="638" spans="2:2" x14ac:dyDescent="0.25">
      <c r="B638" s="1"/>
    </row>
    <row r="639" spans="2:2" x14ac:dyDescent="0.25">
      <c r="B639" s="1"/>
    </row>
    <row r="640" spans="2:2" x14ac:dyDescent="0.25">
      <c r="B640" s="1"/>
    </row>
    <row r="641" spans="2:2" x14ac:dyDescent="0.25">
      <c r="B641" s="1"/>
    </row>
    <row r="642" spans="2:2" x14ac:dyDescent="0.25">
      <c r="B642" s="1"/>
    </row>
    <row r="643" spans="2:2" x14ac:dyDescent="0.25">
      <c r="B643" s="1"/>
    </row>
    <row r="644" spans="2:2" x14ac:dyDescent="0.25">
      <c r="B644" s="1"/>
    </row>
    <row r="645" spans="2:2" x14ac:dyDescent="0.25">
      <c r="B645" s="1"/>
    </row>
    <row r="646" spans="2:2" x14ac:dyDescent="0.25">
      <c r="B646" s="1"/>
    </row>
    <row r="647" spans="2:2" x14ac:dyDescent="0.25">
      <c r="B647" s="1"/>
    </row>
    <row r="648" spans="2:2" x14ac:dyDescent="0.25">
      <c r="B648" s="1"/>
    </row>
    <row r="649" spans="2:2" x14ac:dyDescent="0.25">
      <c r="B649" s="1"/>
    </row>
    <row r="650" spans="2:2" x14ac:dyDescent="0.25">
      <c r="B650" s="1"/>
    </row>
    <row r="651" spans="2:2" x14ac:dyDescent="0.25">
      <c r="B651" s="1"/>
    </row>
    <row r="652" spans="2:2" x14ac:dyDescent="0.25">
      <c r="B652" s="1"/>
    </row>
    <row r="653" spans="2:2" x14ac:dyDescent="0.25">
      <c r="B653" s="1"/>
    </row>
    <row r="654" spans="2:2" x14ac:dyDescent="0.25">
      <c r="B654" s="1"/>
    </row>
    <row r="655" spans="2:2" x14ac:dyDescent="0.25">
      <c r="B655" s="1"/>
    </row>
    <row r="656" spans="2:2" x14ac:dyDescent="0.25">
      <c r="B656" s="1"/>
    </row>
    <row r="657" spans="2:2" x14ac:dyDescent="0.25">
      <c r="B657" s="1"/>
    </row>
    <row r="658" spans="2:2" x14ac:dyDescent="0.25">
      <c r="B658" s="1"/>
    </row>
    <row r="659" spans="2:2" x14ac:dyDescent="0.25">
      <c r="B659" s="1"/>
    </row>
    <row r="660" spans="2:2" x14ac:dyDescent="0.25">
      <c r="B660" s="1"/>
    </row>
    <row r="661" spans="2:2" x14ac:dyDescent="0.25">
      <c r="B661" s="1"/>
    </row>
    <row r="662" spans="2:2" x14ac:dyDescent="0.25">
      <c r="B662" s="1"/>
    </row>
    <row r="663" spans="2:2" x14ac:dyDescent="0.25">
      <c r="B663" s="1"/>
    </row>
    <row r="664" spans="2:2" x14ac:dyDescent="0.25">
      <c r="B664" s="1"/>
    </row>
    <row r="665" spans="2:2" x14ac:dyDescent="0.25">
      <c r="B665" s="1"/>
    </row>
    <row r="666" spans="2:2" x14ac:dyDescent="0.25">
      <c r="B666" s="1"/>
    </row>
    <row r="667" spans="2:2" x14ac:dyDescent="0.25">
      <c r="B667" s="1"/>
    </row>
    <row r="668" spans="2:2" x14ac:dyDescent="0.25">
      <c r="B668" s="1"/>
    </row>
    <row r="669" spans="2:2" x14ac:dyDescent="0.25">
      <c r="B669" s="1"/>
    </row>
    <row r="670" spans="2:2" x14ac:dyDescent="0.25">
      <c r="B670" s="1"/>
    </row>
    <row r="671" spans="2:2" x14ac:dyDescent="0.25">
      <c r="B671" s="1"/>
    </row>
    <row r="672" spans="2:2" x14ac:dyDescent="0.25">
      <c r="B672" s="1"/>
    </row>
    <row r="673" spans="2:2" x14ac:dyDescent="0.25">
      <c r="B673" s="1"/>
    </row>
    <row r="674" spans="2:2" x14ac:dyDescent="0.25">
      <c r="B674" s="1"/>
    </row>
    <row r="675" spans="2:2" x14ac:dyDescent="0.25">
      <c r="B675" s="1"/>
    </row>
    <row r="676" spans="2:2" x14ac:dyDescent="0.25">
      <c r="B676" s="1"/>
    </row>
    <row r="677" spans="2:2" x14ac:dyDescent="0.25">
      <c r="B677" s="1"/>
    </row>
    <row r="678" spans="2:2" x14ac:dyDescent="0.25">
      <c r="B678" s="1"/>
    </row>
    <row r="679" spans="2:2" x14ac:dyDescent="0.25">
      <c r="B679" s="1"/>
    </row>
    <row r="680" spans="2:2" x14ac:dyDescent="0.25">
      <c r="B680" s="1"/>
    </row>
    <row r="681" spans="2:2" x14ac:dyDescent="0.25">
      <c r="B681" s="1"/>
    </row>
    <row r="682" spans="2:2" x14ac:dyDescent="0.25">
      <c r="B682" s="1"/>
    </row>
    <row r="683" spans="2:2" x14ac:dyDescent="0.25">
      <c r="B683" s="1"/>
    </row>
    <row r="684" spans="2:2" x14ac:dyDescent="0.25">
      <c r="B684" s="1"/>
    </row>
    <row r="685" spans="2:2" x14ac:dyDescent="0.25">
      <c r="B685" s="1"/>
    </row>
    <row r="686" spans="2:2" x14ac:dyDescent="0.25">
      <c r="B686" s="1"/>
    </row>
    <row r="687" spans="2:2" x14ac:dyDescent="0.25">
      <c r="B687" s="1"/>
    </row>
    <row r="688" spans="2:2" x14ac:dyDescent="0.25">
      <c r="B688" s="1"/>
    </row>
    <row r="689" spans="2:2" x14ac:dyDescent="0.25">
      <c r="B689" s="1"/>
    </row>
    <row r="690" spans="2:2" x14ac:dyDescent="0.25">
      <c r="B690" s="1"/>
    </row>
    <row r="691" spans="2:2" x14ac:dyDescent="0.25">
      <c r="B691" s="1"/>
    </row>
    <row r="692" spans="2:2" x14ac:dyDescent="0.25">
      <c r="B692" s="1"/>
    </row>
    <row r="693" spans="2:2" x14ac:dyDescent="0.25">
      <c r="B693" s="1"/>
    </row>
    <row r="694" spans="2:2" x14ac:dyDescent="0.25">
      <c r="B694" s="1"/>
    </row>
    <row r="695" spans="2:2" x14ac:dyDescent="0.25">
      <c r="B695" s="1"/>
    </row>
    <row r="696" spans="2:2" x14ac:dyDescent="0.25">
      <c r="B696" s="1"/>
    </row>
    <row r="697" spans="2:2" x14ac:dyDescent="0.25">
      <c r="B697" s="1"/>
    </row>
    <row r="698" spans="2:2" x14ac:dyDescent="0.25">
      <c r="B698" s="1"/>
    </row>
    <row r="699" spans="2:2" x14ac:dyDescent="0.25">
      <c r="B699" s="1"/>
    </row>
    <row r="700" spans="2:2" x14ac:dyDescent="0.25">
      <c r="B700" s="1"/>
    </row>
    <row r="701" spans="2:2" x14ac:dyDescent="0.25">
      <c r="B701" s="1"/>
    </row>
    <row r="702" spans="2:2" x14ac:dyDescent="0.25">
      <c r="B702" s="1"/>
    </row>
    <row r="703" spans="2:2" x14ac:dyDescent="0.25">
      <c r="B703" s="1"/>
    </row>
    <row r="704" spans="2:2" x14ac:dyDescent="0.25">
      <c r="B704" s="1"/>
    </row>
    <row r="705" spans="2:2" x14ac:dyDescent="0.25">
      <c r="B705" s="1"/>
    </row>
    <row r="706" spans="2:2" x14ac:dyDescent="0.25">
      <c r="B706" s="1"/>
    </row>
    <row r="707" spans="2:2" x14ac:dyDescent="0.25">
      <c r="B707" s="1"/>
    </row>
    <row r="708" spans="2:2" x14ac:dyDescent="0.25">
      <c r="B708" s="1"/>
    </row>
    <row r="709" spans="2:2" x14ac:dyDescent="0.25">
      <c r="B709" s="1"/>
    </row>
    <row r="710" spans="2:2" x14ac:dyDescent="0.25">
      <c r="B710" s="1"/>
    </row>
    <row r="711" spans="2:2" x14ac:dyDescent="0.25">
      <c r="B711" s="1"/>
    </row>
    <row r="712" spans="2:2" x14ac:dyDescent="0.25">
      <c r="B712" s="1"/>
    </row>
    <row r="713" spans="2:2" x14ac:dyDescent="0.25">
      <c r="B713" s="1"/>
    </row>
    <row r="714" spans="2:2" x14ac:dyDescent="0.25">
      <c r="B714" s="1"/>
    </row>
    <row r="715" spans="2:2" x14ac:dyDescent="0.25">
      <c r="B715" s="1"/>
    </row>
    <row r="716" spans="2:2" x14ac:dyDescent="0.25">
      <c r="B716" s="1"/>
    </row>
    <row r="717" spans="2:2" x14ac:dyDescent="0.25">
      <c r="B717" s="1"/>
    </row>
    <row r="718" spans="2:2" x14ac:dyDescent="0.25">
      <c r="B718" s="1"/>
    </row>
    <row r="719" spans="2:2" x14ac:dyDescent="0.25">
      <c r="B719" s="1"/>
    </row>
    <row r="720" spans="2:2" x14ac:dyDescent="0.25">
      <c r="B720" s="1"/>
    </row>
    <row r="721" spans="2:2" x14ac:dyDescent="0.25">
      <c r="B721" s="1"/>
    </row>
    <row r="722" spans="2:2" x14ac:dyDescent="0.25">
      <c r="B722" s="1"/>
    </row>
    <row r="723" spans="2:2" x14ac:dyDescent="0.25">
      <c r="B723" s="1"/>
    </row>
    <row r="724" spans="2:2" x14ac:dyDescent="0.25">
      <c r="B724" s="1"/>
    </row>
    <row r="725" spans="2:2" x14ac:dyDescent="0.25">
      <c r="B725" s="1"/>
    </row>
    <row r="726" spans="2:2" x14ac:dyDescent="0.25">
      <c r="B726" s="1"/>
    </row>
    <row r="727" spans="2:2" x14ac:dyDescent="0.25">
      <c r="B727" s="1"/>
    </row>
    <row r="728" spans="2:2" x14ac:dyDescent="0.25">
      <c r="B728" s="1"/>
    </row>
    <row r="729" spans="2:2" x14ac:dyDescent="0.25">
      <c r="B729" s="1"/>
    </row>
    <row r="730" spans="2:2" x14ac:dyDescent="0.25">
      <c r="B730" s="1"/>
    </row>
    <row r="731" spans="2:2" x14ac:dyDescent="0.25">
      <c r="B731" s="1"/>
    </row>
    <row r="732" spans="2:2" x14ac:dyDescent="0.25">
      <c r="B732" s="1"/>
    </row>
    <row r="733" spans="2:2" x14ac:dyDescent="0.25">
      <c r="B733" s="1"/>
    </row>
    <row r="734" spans="2:2" x14ac:dyDescent="0.25">
      <c r="B734" s="1"/>
    </row>
    <row r="735" spans="2:2" x14ac:dyDescent="0.25">
      <c r="B735" s="1"/>
    </row>
    <row r="736" spans="2:2" x14ac:dyDescent="0.25">
      <c r="B736" s="1"/>
    </row>
    <row r="737" spans="2:2" x14ac:dyDescent="0.25">
      <c r="B737" s="1"/>
    </row>
    <row r="738" spans="2:2" x14ac:dyDescent="0.25">
      <c r="B738" s="1"/>
    </row>
    <row r="739" spans="2:2" x14ac:dyDescent="0.25">
      <c r="B739" s="1"/>
    </row>
    <row r="740" spans="2:2" x14ac:dyDescent="0.25">
      <c r="B740" s="1"/>
    </row>
    <row r="741" spans="2:2" x14ac:dyDescent="0.25">
      <c r="B741" s="1"/>
    </row>
    <row r="742" spans="2:2" x14ac:dyDescent="0.25">
      <c r="B742" s="1"/>
    </row>
    <row r="743" spans="2:2" x14ac:dyDescent="0.25">
      <c r="B743" s="1"/>
    </row>
    <row r="744" spans="2:2" x14ac:dyDescent="0.25">
      <c r="B744" s="1"/>
    </row>
    <row r="745" spans="2:2" x14ac:dyDescent="0.25">
      <c r="B745" s="1"/>
    </row>
    <row r="746" spans="2:2" x14ac:dyDescent="0.25">
      <c r="B746" s="1"/>
    </row>
    <row r="747" spans="2:2" x14ac:dyDescent="0.25">
      <c r="B747" s="1"/>
    </row>
    <row r="748" spans="2:2" x14ac:dyDescent="0.25">
      <c r="B748" s="1"/>
    </row>
    <row r="749" spans="2:2" x14ac:dyDescent="0.25">
      <c r="B749" s="1"/>
    </row>
    <row r="750" spans="2:2" x14ac:dyDescent="0.25">
      <c r="B750" s="1"/>
    </row>
    <row r="751" spans="2:2" x14ac:dyDescent="0.25">
      <c r="B751" s="1"/>
    </row>
    <row r="752" spans="2:2" x14ac:dyDescent="0.25">
      <c r="B752" s="1"/>
    </row>
    <row r="753" spans="2:2" x14ac:dyDescent="0.25">
      <c r="B753" s="1"/>
    </row>
    <row r="754" spans="2:2" x14ac:dyDescent="0.25">
      <c r="B754" s="1"/>
    </row>
    <row r="755" spans="2:2" x14ac:dyDescent="0.25">
      <c r="B755" s="1"/>
    </row>
    <row r="756" spans="2:2" x14ac:dyDescent="0.25">
      <c r="B756" s="1"/>
    </row>
    <row r="757" spans="2:2" x14ac:dyDescent="0.25">
      <c r="B757" s="1"/>
    </row>
    <row r="758" spans="2:2" x14ac:dyDescent="0.25">
      <c r="B758" s="1"/>
    </row>
    <row r="759" spans="2:2" x14ac:dyDescent="0.25">
      <c r="B759" s="1"/>
    </row>
    <row r="760" spans="2:2" x14ac:dyDescent="0.25">
      <c r="B760" s="1"/>
    </row>
    <row r="761" spans="2:2" x14ac:dyDescent="0.25">
      <c r="B761" s="1"/>
    </row>
    <row r="762" spans="2:2" x14ac:dyDescent="0.25">
      <c r="B762" s="1"/>
    </row>
    <row r="763" spans="2:2" x14ac:dyDescent="0.25">
      <c r="B763" s="1"/>
    </row>
    <row r="764" spans="2:2" x14ac:dyDescent="0.25">
      <c r="B764" s="1"/>
    </row>
    <row r="765" spans="2:2" x14ac:dyDescent="0.25">
      <c r="B765" s="1"/>
    </row>
    <row r="766" spans="2:2" x14ac:dyDescent="0.25">
      <c r="B766" s="1"/>
    </row>
    <row r="767" spans="2:2" x14ac:dyDescent="0.25">
      <c r="B767" s="1"/>
    </row>
    <row r="768" spans="2:2" x14ac:dyDescent="0.25">
      <c r="B768" s="1"/>
    </row>
    <row r="769" spans="2:2" x14ac:dyDescent="0.25">
      <c r="B769" s="1"/>
    </row>
    <row r="770" spans="2:2" x14ac:dyDescent="0.25">
      <c r="B770" s="1"/>
    </row>
    <row r="771" spans="2:2" x14ac:dyDescent="0.25">
      <c r="B771" s="1"/>
    </row>
    <row r="772" spans="2:2" x14ac:dyDescent="0.25">
      <c r="B772" s="1"/>
    </row>
    <row r="773" spans="2:2" x14ac:dyDescent="0.25">
      <c r="B773" s="1"/>
    </row>
    <row r="774" spans="2:2" x14ac:dyDescent="0.25">
      <c r="B774" s="1"/>
    </row>
    <row r="775" spans="2:2" x14ac:dyDescent="0.25">
      <c r="B775" s="1"/>
    </row>
    <row r="776" spans="2:2" x14ac:dyDescent="0.25">
      <c r="B776" s="1"/>
    </row>
    <row r="777" spans="2:2" x14ac:dyDescent="0.25">
      <c r="B777" s="1"/>
    </row>
    <row r="778" spans="2:2" x14ac:dyDescent="0.25">
      <c r="B778" s="1"/>
    </row>
    <row r="779" spans="2:2" x14ac:dyDescent="0.25">
      <c r="B779" s="1"/>
    </row>
    <row r="780" spans="2:2" x14ac:dyDescent="0.25">
      <c r="B780" s="1"/>
    </row>
    <row r="781" spans="2:2" x14ac:dyDescent="0.25">
      <c r="B781" s="1"/>
    </row>
    <row r="782" spans="2:2" x14ac:dyDescent="0.25">
      <c r="B782" s="1"/>
    </row>
    <row r="783" spans="2:2" x14ac:dyDescent="0.25">
      <c r="B783" s="1"/>
    </row>
    <row r="784" spans="2:2" x14ac:dyDescent="0.25">
      <c r="B784" s="1"/>
    </row>
    <row r="785" spans="2:2" x14ac:dyDescent="0.25">
      <c r="B785" s="1"/>
    </row>
    <row r="786" spans="2:2" x14ac:dyDescent="0.25">
      <c r="B786" s="1"/>
    </row>
    <row r="787" spans="2:2" x14ac:dyDescent="0.25">
      <c r="B787" s="1"/>
    </row>
    <row r="788" spans="2:2" x14ac:dyDescent="0.25">
      <c r="B788" s="1"/>
    </row>
    <row r="789" spans="2:2" x14ac:dyDescent="0.25">
      <c r="B789" s="1"/>
    </row>
    <row r="790" spans="2:2" x14ac:dyDescent="0.25">
      <c r="B790" s="1"/>
    </row>
    <row r="791" spans="2:2" x14ac:dyDescent="0.25">
      <c r="B791" s="1"/>
    </row>
    <row r="792" spans="2:2" x14ac:dyDescent="0.25">
      <c r="B792" s="1"/>
    </row>
    <row r="793" spans="2:2" x14ac:dyDescent="0.25">
      <c r="B793" s="1"/>
    </row>
    <row r="794" spans="2:2" x14ac:dyDescent="0.25">
      <c r="B794" s="1"/>
    </row>
    <row r="795" spans="2:2" x14ac:dyDescent="0.25">
      <c r="B795" s="1"/>
    </row>
    <row r="796" spans="2:2" x14ac:dyDescent="0.25">
      <c r="B796" s="1"/>
    </row>
    <row r="797" spans="2:2" x14ac:dyDescent="0.25">
      <c r="B797" s="1"/>
    </row>
    <row r="798" spans="2:2" x14ac:dyDescent="0.25">
      <c r="B798" s="1"/>
    </row>
    <row r="799" spans="2:2" x14ac:dyDescent="0.25">
      <c r="B799" s="1"/>
    </row>
    <row r="800" spans="2:2" x14ac:dyDescent="0.25">
      <c r="B800" s="1"/>
    </row>
    <row r="801" spans="2:2" x14ac:dyDescent="0.25">
      <c r="B801" s="1"/>
    </row>
    <row r="802" spans="2:2" x14ac:dyDescent="0.25">
      <c r="B802" s="1"/>
    </row>
    <row r="803" spans="2:2" x14ac:dyDescent="0.25">
      <c r="B803" s="1"/>
    </row>
    <row r="804" spans="2:2" x14ac:dyDescent="0.25">
      <c r="B804" s="1"/>
    </row>
    <row r="805" spans="2:2" x14ac:dyDescent="0.25">
      <c r="B805" s="1"/>
    </row>
    <row r="806" spans="2:2" x14ac:dyDescent="0.25">
      <c r="B806" s="1"/>
    </row>
    <row r="807" spans="2:2" x14ac:dyDescent="0.25">
      <c r="B807" s="1"/>
    </row>
    <row r="808" spans="2:2" x14ac:dyDescent="0.25">
      <c r="B808" s="1"/>
    </row>
    <row r="809" spans="2:2" x14ac:dyDescent="0.25">
      <c r="B809" s="1"/>
    </row>
    <row r="810" spans="2:2" x14ac:dyDescent="0.25">
      <c r="B810" s="1"/>
    </row>
    <row r="811" spans="2:2" x14ac:dyDescent="0.25">
      <c r="B811" s="1"/>
    </row>
    <row r="812" spans="2:2" x14ac:dyDescent="0.25">
      <c r="B812" s="1"/>
    </row>
    <row r="813" spans="2:2" x14ac:dyDescent="0.25">
      <c r="B813" s="1"/>
    </row>
    <row r="814" spans="2:2" x14ac:dyDescent="0.25">
      <c r="B814" s="1"/>
    </row>
    <row r="815" spans="2:2" x14ac:dyDescent="0.25">
      <c r="B815" s="1"/>
    </row>
    <row r="816" spans="2:2" x14ac:dyDescent="0.25">
      <c r="B816" s="1"/>
    </row>
    <row r="817" spans="2:2" x14ac:dyDescent="0.25">
      <c r="B817" s="1"/>
    </row>
    <row r="818" spans="2:2" x14ac:dyDescent="0.25">
      <c r="B818" s="1"/>
    </row>
    <row r="819" spans="2:2" x14ac:dyDescent="0.25">
      <c r="B819" s="1"/>
    </row>
    <row r="820" spans="2:2" x14ac:dyDescent="0.25">
      <c r="B820" s="1"/>
    </row>
    <row r="821" spans="2:2" x14ac:dyDescent="0.25">
      <c r="B821" s="1"/>
    </row>
    <row r="822" spans="2:2" x14ac:dyDescent="0.25">
      <c r="B822" s="1"/>
    </row>
    <row r="823" spans="2:2" x14ac:dyDescent="0.25">
      <c r="B823" s="1"/>
    </row>
    <row r="824" spans="2:2" x14ac:dyDescent="0.25">
      <c r="B824" s="1"/>
    </row>
    <row r="825" spans="2:2" x14ac:dyDescent="0.25">
      <c r="B825" s="1"/>
    </row>
    <row r="826" spans="2:2" x14ac:dyDescent="0.25">
      <c r="B826" s="1"/>
    </row>
    <row r="827" spans="2:2" x14ac:dyDescent="0.25">
      <c r="B827" s="1"/>
    </row>
    <row r="828" spans="2:2" x14ac:dyDescent="0.25">
      <c r="B828" s="1"/>
    </row>
    <row r="829" spans="2:2" x14ac:dyDescent="0.25">
      <c r="B829" s="1"/>
    </row>
    <row r="830" spans="2:2" x14ac:dyDescent="0.25">
      <c r="B830" s="1"/>
    </row>
    <row r="831" spans="2:2" x14ac:dyDescent="0.25">
      <c r="B831" s="1"/>
    </row>
    <row r="832" spans="2:2" x14ac:dyDescent="0.25">
      <c r="B832" s="1"/>
    </row>
    <row r="833" spans="2:2" x14ac:dyDescent="0.25">
      <c r="B833" s="1"/>
    </row>
    <row r="834" spans="2:2" x14ac:dyDescent="0.25">
      <c r="B834" s="1"/>
    </row>
    <row r="835" spans="2:2" x14ac:dyDescent="0.25">
      <c r="B835" s="1"/>
    </row>
    <row r="836" spans="2:2" x14ac:dyDescent="0.25">
      <c r="B836" s="1"/>
    </row>
    <row r="837" spans="2:2" x14ac:dyDescent="0.25">
      <c r="B837" s="1"/>
    </row>
    <row r="838" spans="2:2" x14ac:dyDescent="0.25">
      <c r="B838" s="1"/>
    </row>
    <row r="839" spans="2:2" x14ac:dyDescent="0.25">
      <c r="B839" s="1"/>
    </row>
    <row r="840" spans="2:2" x14ac:dyDescent="0.25">
      <c r="B840" s="1"/>
    </row>
    <row r="841" spans="2:2" x14ac:dyDescent="0.25">
      <c r="B841" s="1"/>
    </row>
    <row r="842" spans="2:2" x14ac:dyDescent="0.25">
      <c r="B842" s="1"/>
    </row>
    <row r="843" spans="2:2" x14ac:dyDescent="0.25">
      <c r="B843" s="1"/>
    </row>
    <row r="844" spans="2:2" x14ac:dyDescent="0.25">
      <c r="B844" s="1"/>
    </row>
    <row r="845" spans="2:2" x14ac:dyDescent="0.25">
      <c r="B845" s="1"/>
    </row>
    <row r="846" spans="2:2" x14ac:dyDescent="0.25">
      <c r="B846" s="1"/>
    </row>
    <row r="847" spans="2:2" x14ac:dyDescent="0.25">
      <c r="B847" s="1"/>
    </row>
    <row r="848" spans="2:2" x14ac:dyDescent="0.25">
      <c r="B848" s="1"/>
    </row>
    <row r="849" spans="2:2" x14ac:dyDescent="0.25">
      <c r="B849" s="1"/>
    </row>
    <row r="850" spans="2:2" x14ac:dyDescent="0.25">
      <c r="B850" s="1"/>
    </row>
    <row r="851" spans="2:2" x14ac:dyDescent="0.25">
      <c r="B851" s="1"/>
    </row>
    <row r="852" spans="2:2" x14ac:dyDescent="0.25">
      <c r="B852" s="1"/>
    </row>
    <row r="853" spans="2:2" x14ac:dyDescent="0.25">
      <c r="B853" s="1"/>
    </row>
    <row r="854" spans="2:2" x14ac:dyDescent="0.25">
      <c r="B854" s="1"/>
    </row>
    <row r="855" spans="2:2" x14ac:dyDescent="0.25">
      <c r="B855" s="1"/>
    </row>
    <row r="856" spans="2:2" x14ac:dyDescent="0.25">
      <c r="B856" s="1"/>
    </row>
    <row r="857" spans="2:2" x14ac:dyDescent="0.25">
      <c r="B857" s="1"/>
    </row>
    <row r="858" spans="2:2" x14ac:dyDescent="0.25">
      <c r="B858" s="1"/>
    </row>
    <row r="859" spans="2:2" x14ac:dyDescent="0.25">
      <c r="B859" s="1"/>
    </row>
    <row r="860" spans="2:2" x14ac:dyDescent="0.25">
      <c r="B860" s="1"/>
    </row>
    <row r="861" spans="2:2" x14ac:dyDescent="0.25">
      <c r="B861" s="1"/>
    </row>
    <row r="862" spans="2:2" x14ac:dyDescent="0.25">
      <c r="B862" s="1"/>
    </row>
    <row r="863" spans="2:2" x14ac:dyDescent="0.25">
      <c r="B863" s="1"/>
    </row>
    <row r="864" spans="2:2" x14ac:dyDescent="0.25">
      <c r="B864" s="1"/>
    </row>
    <row r="865" spans="2:2" x14ac:dyDescent="0.25">
      <c r="B865" s="1"/>
    </row>
    <row r="866" spans="2:2" x14ac:dyDescent="0.25">
      <c r="B866" s="1"/>
    </row>
    <row r="867" spans="2:2" x14ac:dyDescent="0.25">
      <c r="B867" s="1"/>
    </row>
    <row r="868" spans="2:2" x14ac:dyDescent="0.25">
      <c r="B868" s="1"/>
    </row>
    <row r="869" spans="2:2" x14ac:dyDescent="0.25">
      <c r="B869" s="1"/>
    </row>
    <row r="870" spans="2:2" x14ac:dyDescent="0.25">
      <c r="B870" s="1"/>
    </row>
    <row r="871" spans="2:2" x14ac:dyDescent="0.25">
      <c r="B871" s="1"/>
    </row>
    <row r="872" spans="2:2" x14ac:dyDescent="0.25">
      <c r="B872" s="1"/>
    </row>
    <row r="873" spans="2:2" x14ac:dyDescent="0.25">
      <c r="B873" s="1"/>
    </row>
    <row r="874" spans="2:2" x14ac:dyDescent="0.25">
      <c r="B874" s="1"/>
    </row>
    <row r="875" spans="2:2" x14ac:dyDescent="0.25">
      <c r="B875" s="1"/>
    </row>
    <row r="876" spans="2:2" x14ac:dyDescent="0.25">
      <c r="B876" s="1"/>
    </row>
    <row r="877" spans="2:2" x14ac:dyDescent="0.25">
      <c r="B877" s="1"/>
    </row>
    <row r="878" spans="2:2" x14ac:dyDescent="0.25">
      <c r="B878" s="1"/>
    </row>
    <row r="879" spans="2:2" x14ac:dyDescent="0.25">
      <c r="B879" s="1"/>
    </row>
    <row r="880" spans="2:2" x14ac:dyDescent="0.25">
      <c r="B880" s="1"/>
    </row>
    <row r="881" spans="2:2" x14ac:dyDescent="0.25">
      <c r="B881" s="1"/>
    </row>
    <row r="882" spans="2:2" x14ac:dyDescent="0.25">
      <c r="B882" s="1"/>
    </row>
    <row r="883" spans="2:2" x14ac:dyDescent="0.25">
      <c r="B883" s="1"/>
    </row>
    <row r="884" spans="2:2" x14ac:dyDescent="0.25">
      <c r="B884" s="1"/>
    </row>
    <row r="885" spans="2:2" x14ac:dyDescent="0.25">
      <c r="B885" s="1"/>
    </row>
    <row r="886" spans="2:2" x14ac:dyDescent="0.25">
      <c r="B886" s="1"/>
    </row>
    <row r="887" spans="2:2" x14ac:dyDescent="0.25">
      <c r="B887" s="1"/>
    </row>
    <row r="888" spans="2:2" x14ac:dyDescent="0.25">
      <c r="B888" s="1"/>
    </row>
    <row r="889" spans="2:2" x14ac:dyDescent="0.25">
      <c r="B889" s="1"/>
    </row>
    <row r="890" spans="2:2" x14ac:dyDescent="0.25">
      <c r="B890" s="1"/>
    </row>
    <row r="891" spans="2:2" x14ac:dyDescent="0.25">
      <c r="B891" s="1"/>
    </row>
    <row r="892" spans="2:2" x14ac:dyDescent="0.25">
      <c r="B892" s="1"/>
    </row>
    <row r="893" spans="2:2" x14ac:dyDescent="0.25">
      <c r="B893" s="1"/>
    </row>
    <row r="894" spans="2:2" x14ac:dyDescent="0.25">
      <c r="B894" s="1"/>
    </row>
    <row r="895" spans="2:2" x14ac:dyDescent="0.25">
      <c r="B895" s="1"/>
    </row>
    <row r="896" spans="2:2" x14ac:dyDescent="0.25">
      <c r="B896" s="1"/>
    </row>
    <row r="897" spans="2:2" x14ac:dyDescent="0.25">
      <c r="B897" s="1"/>
    </row>
    <row r="898" spans="2:2" x14ac:dyDescent="0.25">
      <c r="B898" s="1"/>
    </row>
    <row r="899" spans="2:2" x14ac:dyDescent="0.25">
      <c r="B899" s="1"/>
    </row>
    <row r="900" spans="2:2" x14ac:dyDescent="0.25">
      <c r="B900" s="1"/>
    </row>
    <row r="901" spans="2:2" x14ac:dyDescent="0.25">
      <c r="B901" s="1"/>
    </row>
    <row r="902" spans="2:2" x14ac:dyDescent="0.25">
      <c r="B902" s="1"/>
    </row>
    <row r="903" spans="2:2" x14ac:dyDescent="0.25">
      <c r="B903" s="1"/>
    </row>
    <row r="904" spans="2:2" x14ac:dyDescent="0.25">
      <c r="B904" s="1"/>
    </row>
    <row r="905" spans="2:2" x14ac:dyDescent="0.25">
      <c r="B905" s="1"/>
    </row>
    <row r="906" spans="2:2" x14ac:dyDescent="0.25">
      <c r="B906" s="1"/>
    </row>
    <row r="907" spans="2:2" x14ac:dyDescent="0.25">
      <c r="B907" s="1"/>
    </row>
    <row r="908" spans="2:2" x14ac:dyDescent="0.25">
      <c r="B908" s="1"/>
    </row>
    <row r="909" spans="2:2" x14ac:dyDescent="0.25">
      <c r="B909" s="1"/>
    </row>
    <row r="910" spans="2:2" x14ac:dyDescent="0.25">
      <c r="B910" s="1"/>
    </row>
    <row r="911" spans="2:2" x14ac:dyDescent="0.25">
      <c r="B911" s="1"/>
    </row>
    <row r="912" spans="2:2" x14ac:dyDescent="0.25">
      <c r="B912" s="1"/>
    </row>
    <row r="913" spans="2:2" x14ac:dyDescent="0.25">
      <c r="B913" s="1"/>
    </row>
    <row r="914" spans="2:2" x14ac:dyDescent="0.25">
      <c r="B914" s="1"/>
    </row>
    <row r="915" spans="2:2" x14ac:dyDescent="0.25">
      <c r="B915" s="1"/>
    </row>
    <row r="916" spans="2:2" x14ac:dyDescent="0.25">
      <c r="B916" s="1"/>
    </row>
    <row r="917" spans="2:2" x14ac:dyDescent="0.25">
      <c r="B917" s="1"/>
    </row>
    <row r="918" spans="2:2" x14ac:dyDescent="0.25">
      <c r="B918" s="1"/>
    </row>
    <row r="919" spans="2:2" x14ac:dyDescent="0.25">
      <c r="B919" s="1"/>
    </row>
    <row r="920" spans="2:2" x14ac:dyDescent="0.25">
      <c r="B920" s="1"/>
    </row>
    <row r="921" spans="2:2" x14ac:dyDescent="0.25">
      <c r="B921" s="1"/>
    </row>
    <row r="922" spans="2:2" x14ac:dyDescent="0.25">
      <c r="B922" s="1"/>
    </row>
    <row r="923" spans="2:2" x14ac:dyDescent="0.25">
      <c r="B923" s="1"/>
    </row>
    <row r="924" spans="2:2" x14ac:dyDescent="0.25">
      <c r="B924" s="1"/>
    </row>
    <row r="925" spans="2:2" x14ac:dyDescent="0.25">
      <c r="B925" s="1"/>
    </row>
    <row r="926" spans="2:2" x14ac:dyDescent="0.25">
      <c r="B926" s="1"/>
    </row>
    <row r="927" spans="2:2" x14ac:dyDescent="0.25">
      <c r="B927" s="1"/>
    </row>
    <row r="928" spans="2:2" x14ac:dyDescent="0.25">
      <c r="B928" s="1"/>
    </row>
    <row r="929" spans="2:2" x14ac:dyDescent="0.25">
      <c r="B929" s="1"/>
    </row>
    <row r="930" spans="2:2" x14ac:dyDescent="0.25">
      <c r="B930" s="1"/>
    </row>
    <row r="931" spans="2:2" x14ac:dyDescent="0.25">
      <c r="B931" s="1"/>
    </row>
    <row r="932" spans="2:2" x14ac:dyDescent="0.25">
      <c r="B932" s="1"/>
    </row>
    <row r="933" spans="2:2" x14ac:dyDescent="0.25">
      <c r="B933" s="1"/>
    </row>
    <row r="934" spans="2:2" x14ac:dyDescent="0.25">
      <c r="B934" s="1"/>
    </row>
    <row r="935" spans="2:2" x14ac:dyDescent="0.25">
      <c r="B935" s="1"/>
    </row>
    <row r="936" spans="2:2" x14ac:dyDescent="0.25">
      <c r="B936" s="1"/>
    </row>
    <row r="937" spans="2:2" x14ac:dyDescent="0.25">
      <c r="B937" s="1"/>
    </row>
    <row r="938" spans="2:2" x14ac:dyDescent="0.25">
      <c r="B938" s="1"/>
    </row>
    <row r="939" spans="2:2" x14ac:dyDescent="0.25">
      <c r="B939" s="1"/>
    </row>
    <row r="940" spans="2:2" x14ac:dyDescent="0.25">
      <c r="B940" s="1"/>
    </row>
    <row r="941" spans="2:2" x14ac:dyDescent="0.25">
      <c r="B941" s="1"/>
    </row>
    <row r="942" spans="2:2" x14ac:dyDescent="0.25">
      <c r="B942" s="1"/>
    </row>
    <row r="943" spans="2:2" x14ac:dyDescent="0.25">
      <c r="B943" s="1"/>
    </row>
    <row r="944" spans="2:2" x14ac:dyDescent="0.25">
      <c r="B944" s="1"/>
    </row>
    <row r="945" spans="2:2" x14ac:dyDescent="0.25">
      <c r="B945" s="1"/>
    </row>
    <row r="946" spans="2:2" x14ac:dyDescent="0.25">
      <c r="B946" s="1"/>
    </row>
    <row r="947" spans="2:2" x14ac:dyDescent="0.25">
      <c r="B947" s="1"/>
    </row>
    <row r="948" spans="2:2" x14ac:dyDescent="0.25">
      <c r="B948" s="1"/>
    </row>
    <row r="949" spans="2:2" x14ac:dyDescent="0.25">
      <c r="B949" s="1"/>
    </row>
    <row r="950" spans="2:2" x14ac:dyDescent="0.25">
      <c r="B950" s="1"/>
    </row>
    <row r="951" spans="2:2" x14ac:dyDescent="0.25">
      <c r="B951" s="1"/>
    </row>
    <row r="952" spans="2:2" x14ac:dyDescent="0.25">
      <c r="B952" s="1"/>
    </row>
    <row r="953" spans="2:2" x14ac:dyDescent="0.25">
      <c r="B953" s="1"/>
    </row>
    <row r="954" spans="2:2" x14ac:dyDescent="0.25">
      <c r="B954" s="1"/>
    </row>
    <row r="955" spans="2:2" x14ac:dyDescent="0.25">
      <c r="B955" s="1"/>
    </row>
    <row r="956" spans="2:2" x14ac:dyDescent="0.25">
      <c r="B956" s="1"/>
    </row>
    <row r="957" spans="2:2" x14ac:dyDescent="0.25">
      <c r="B957" s="1"/>
    </row>
    <row r="958" spans="2:2" x14ac:dyDescent="0.25">
      <c r="B958" s="1"/>
    </row>
    <row r="959" spans="2:2" x14ac:dyDescent="0.25">
      <c r="B959" s="1"/>
    </row>
    <row r="960" spans="2:2" x14ac:dyDescent="0.25">
      <c r="B960" s="1"/>
    </row>
    <row r="961" spans="2:2" x14ac:dyDescent="0.25">
      <c r="B961" s="1"/>
    </row>
    <row r="962" spans="2:2" x14ac:dyDescent="0.25">
      <c r="B962" s="1"/>
    </row>
    <row r="963" spans="2:2" x14ac:dyDescent="0.25">
      <c r="B963" s="1"/>
    </row>
    <row r="964" spans="2:2" x14ac:dyDescent="0.25">
      <c r="B964" s="1"/>
    </row>
    <row r="965" spans="2:2" x14ac:dyDescent="0.25">
      <c r="B965" s="1"/>
    </row>
    <row r="966" spans="2:2" x14ac:dyDescent="0.25">
      <c r="B966" s="1"/>
    </row>
    <row r="967" spans="2:2" x14ac:dyDescent="0.25">
      <c r="B967" s="1"/>
    </row>
    <row r="968" spans="2:2" x14ac:dyDescent="0.25">
      <c r="B968" s="1"/>
    </row>
    <row r="969" spans="2:2" x14ac:dyDescent="0.25">
      <c r="B969" s="1"/>
    </row>
    <row r="970" spans="2:2" x14ac:dyDescent="0.25">
      <c r="B970" s="1"/>
    </row>
    <row r="971" spans="2:2" x14ac:dyDescent="0.25">
      <c r="B971" s="1"/>
    </row>
    <row r="972" spans="2:2" x14ac:dyDescent="0.25">
      <c r="B972" s="1"/>
    </row>
    <row r="973" spans="2:2" x14ac:dyDescent="0.25">
      <c r="B973" s="1"/>
    </row>
    <row r="974" spans="2:2" x14ac:dyDescent="0.25">
      <c r="B974" s="1"/>
    </row>
    <row r="975" spans="2:2" x14ac:dyDescent="0.25">
      <c r="B975" s="1"/>
    </row>
    <row r="976" spans="2:2" x14ac:dyDescent="0.25">
      <c r="B976" s="1"/>
    </row>
    <row r="977" spans="2:2" x14ac:dyDescent="0.25">
      <c r="B977" s="1"/>
    </row>
    <row r="978" spans="2:2" x14ac:dyDescent="0.25">
      <c r="B978" s="1"/>
    </row>
    <row r="979" spans="2:2" x14ac:dyDescent="0.25">
      <c r="B979" s="1"/>
    </row>
    <row r="980" spans="2:2" x14ac:dyDescent="0.25">
      <c r="B980" s="1"/>
    </row>
    <row r="981" spans="2:2" x14ac:dyDescent="0.25">
      <c r="B981" s="1"/>
    </row>
    <row r="982" spans="2:2" x14ac:dyDescent="0.25">
      <c r="B982" s="1"/>
    </row>
    <row r="983" spans="2:2" x14ac:dyDescent="0.25">
      <c r="B983" s="1"/>
    </row>
    <row r="984" spans="2:2" x14ac:dyDescent="0.25">
      <c r="B984" s="1"/>
    </row>
    <row r="985" spans="2:2" x14ac:dyDescent="0.25">
      <c r="B985" s="1"/>
    </row>
    <row r="986" spans="2:2" x14ac:dyDescent="0.25">
      <c r="B986" s="1"/>
    </row>
    <row r="987" spans="2:2" x14ac:dyDescent="0.25">
      <c r="B987" s="1"/>
    </row>
    <row r="988" spans="2:2" x14ac:dyDescent="0.25">
      <c r="B988" s="1"/>
    </row>
    <row r="989" spans="2:2" x14ac:dyDescent="0.25">
      <c r="B989" s="1"/>
    </row>
    <row r="990" spans="2:2" x14ac:dyDescent="0.25">
      <c r="B990" s="1"/>
    </row>
    <row r="991" spans="2:2" x14ac:dyDescent="0.25">
      <c r="B991" s="1"/>
    </row>
    <row r="992" spans="2:2" x14ac:dyDescent="0.25">
      <c r="B992" s="1"/>
    </row>
    <row r="993" spans="2:2" x14ac:dyDescent="0.25">
      <c r="B993" s="1"/>
    </row>
    <row r="994" spans="2:2" x14ac:dyDescent="0.25">
      <c r="B994" s="1"/>
    </row>
    <row r="995" spans="2:2" x14ac:dyDescent="0.25">
      <c r="B995" s="1"/>
    </row>
    <row r="996" spans="2:2" x14ac:dyDescent="0.25">
      <c r="B996" s="1"/>
    </row>
    <row r="997" spans="2:2" x14ac:dyDescent="0.25">
      <c r="B997" s="1"/>
    </row>
    <row r="998" spans="2:2" x14ac:dyDescent="0.25">
      <c r="B998" s="1"/>
    </row>
    <row r="999" spans="2:2" x14ac:dyDescent="0.25">
      <c r="B999" s="1"/>
    </row>
    <row r="1000" spans="2:2" x14ac:dyDescent="0.25">
      <c r="B1000" s="1"/>
    </row>
    <row r="1001" spans="2:2" x14ac:dyDescent="0.25">
      <c r="B1001" s="1"/>
    </row>
    <row r="1002" spans="2:2" x14ac:dyDescent="0.25">
      <c r="B1002" s="1"/>
    </row>
    <row r="1003" spans="2:2" x14ac:dyDescent="0.25">
      <c r="B1003" s="1"/>
    </row>
    <row r="1004" spans="2:2" x14ac:dyDescent="0.25">
      <c r="B1004" s="1"/>
    </row>
    <row r="1005" spans="2:2" x14ac:dyDescent="0.25">
      <c r="B1005" s="1"/>
    </row>
    <row r="1006" spans="2:2" x14ac:dyDescent="0.25">
      <c r="B1006" s="1"/>
    </row>
    <row r="1007" spans="2:2" x14ac:dyDescent="0.25">
      <c r="B1007" s="1"/>
    </row>
    <row r="1008" spans="2:2" x14ac:dyDescent="0.25">
      <c r="B1008" s="1"/>
    </row>
    <row r="1009" spans="2:2" x14ac:dyDescent="0.25">
      <c r="B1009" s="1"/>
    </row>
    <row r="1010" spans="2:2" x14ac:dyDescent="0.25">
      <c r="B1010" s="1"/>
    </row>
    <row r="1011" spans="2:2" x14ac:dyDescent="0.25">
      <c r="B1011" s="1"/>
    </row>
    <row r="1012" spans="2:2" x14ac:dyDescent="0.25">
      <c r="B1012" s="1"/>
    </row>
    <row r="1013" spans="2:2" x14ac:dyDescent="0.25">
      <c r="B1013" s="1"/>
    </row>
    <row r="1014" spans="2:2" x14ac:dyDescent="0.25">
      <c r="B1014" s="1"/>
    </row>
    <row r="1015" spans="2:2" x14ac:dyDescent="0.25">
      <c r="B1015" s="1"/>
    </row>
    <row r="1016" spans="2:2" x14ac:dyDescent="0.25">
      <c r="B1016" s="1"/>
    </row>
    <row r="1017" spans="2:2" x14ac:dyDescent="0.25">
      <c r="B1017" s="1"/>
    </row>
    <row r="1018" spans="2:2" x14ac:dyDescent="0.25">
      <c r="B1018" s="1"/>
    </row>
    <row r="1019" spans="2:2" x14ac:dyDescent="0.25">
      <c r="B1019" s="1"/>
    </row>
    <row r="1020" spans="2:2" x14ac:dyDescent="0.25">
      <c r="B1020" s="1"/>
    </row>
    <row r="1021" spans="2:2" x14ac:dyDescent="0.25">
      <c r="B1021" s="1"/>
    </row>
    <row r="1022" spans="2:2" x14ac:dyDescent="0.25">
      <c r="B1022" s="1"/>
    </row>
    <row r="1023" spans="2:2" x14ac:dyDescent="0.25">
      <c r="B1023" s="1"/>
    </row>
    <row r="1024" spans="2:2" x14ac:dyDescent="0.25">
      <c r="B1024" s="1"/>
    </row>
    <row r="1025" spans="2:2" x14ac:dyDescent="0.25">
      <c r="B1025" s="1"/>
    </row>
    <row r="1026" spans="2:2" x14ac:dyDescent="0.25">
      <c r="B1026" s="1"/>
    </row>
    <row r="1027" spans="2:2" x14ac:dyDescent="0.25">
      <c r="B1027" s="1"/>
    </row>
    <row r="1028" spans="2:2" x14ac:dyDescent="0.25">
      <c r="B1028" s="1"/>
    </row>
    <row r="1029" spans="2:2" x14ac:dyDescent="0.25">
      <c r="B1029" s="1"/>
    </row>
    <row r="1030" spans="2:2" x14ac:dyDescent="0.25">
      <c r="B1030" s="1"/>
    </row>
    <row r="1031" spans="2:2" x14ac:dyDescent="0.25">
      <c r="B1031" s="1"/>
    </row>
    <row r="1032" spans="2:2" x14ac:dyDescent="0.25">
      <c r="B1032" s="1"/>
    </row>
    <row r="1033" spans="2:2" x14ac:dyDescent="0.25">
      <c r="B1033" s="1"/>
    </row>
    <row r="1034" spans="2:2" x14ac:dyDescent="0.25">
      <c r="B1034" s="1"/>
    </row>
    <row r="1035" spans="2:2" x14ac:dyDescent="0.25">
      <c r="B1035" s="1"/>
    </row>
    <row r="1036" spans="2:2" x14ac:dyDescent="0.25">
      <c r="B1036" s="1"/>
    </row>
    <row r="1037" spans="2:2" x14ac:dyDescent="0.25">
      <c r="B1037" s="1"/>
    </row>
    <row r="1038" spans="2:2" x14ac:dyDescent="0.25">
      <c r="B1038" s="1"/>
    </row>
    <row r="1039" spans="2:2" x14ac:dyDescent="0.25">
      <c r="B1039" s="1"/>
    </row>
    <row r="1040" spans="2:2" x14ac:dyDescent="0.25">
      <c r="B1040" s="1"/>
    </row>
    <row r="1041" spans="2:2" x14ac:dyDescent="0.25">
      <c r="B1041" s="1"/>
    </row>
    <row r="1042" spans="2:2" x14ac:dyDescent="0.25">
      <c r="B1042" s="1"/>
    </row>
    <row r="1043" spans="2:2" x14ac:dyDescent="0.25">
      <c r="B1043" s="1"/>
    </row>
    <row r="1044" spans="2:2" x14ac:dyDescent="0.25">
      <c r="B1044" s="1"/>
    </row>
    <row r="1045" spans="2:2" x14ac:dyDescent="0.25">
      <c r="B1045" s="1"/>
    </row>
    <row r="1046" spans="2:2" x14ac:dyDescent="0.25">
      <c r="B1046" s="1"/>
    </row>
    <row r="1047" spans="2:2" x14ac:dyDescent="0.25">
      <c r="B1047" s="1"/>
    </row>
    <row r="1048" spans="2:2" x14ac:dyDescent="0.25">
      <c r="B1048" s="1"/>
    </row>
    <row r="1049" spans="2:2" x14ac:dyDescent="0.25">
      <c r="B1049" s="1"/>
    </row>
    <row r="1050" spans="2:2" x14ac:dyDescent="0.25">
      <c r="B1050" s="1"/>
    </row>
    <row r="1051" spans="2:2" x14ac:dyDescent="0.25">
      <c r="B1051" s="1"/>
    </row>
    <row r="1052" spans="2:2" x14ac:dyDescent="0.25">
      <c r="B1052" s="1"/>
    </row>
    <row r="1053" spans="2:2" x14ac:dyDescent="0.25">
      <c r="B1053" s="1"/>
    </row>
    <row r="1054" spans="2:2" x14ac:dyDescent="0.25">
      <c r="B1054" s="1"/>
    </row>
    <row r="1055" spans="2:2" x14ac:dyDescent="0.25">
      <c r="B1055" s="1"/>
    </row>
    <row r="1056" spans="2:2" x14ac:dyDescent="0.25">
      <c r="B1056" s="1"/>
    </row>
    <row r="1057" spans="2:2" x14ac:dyDescent="0.25">
      <c r="B1057" s="1"/>
    </row>
    <row r="1058" spans="2:2" x14ac:dyDescent="0.25">
      <c r="B1058" s="1"/>
    </row>
    <row r="1059" spans="2:2" x14ac:dyDescent="0.25">
      <c r="B1059" s="1"/>
    </row>
    <row r="1060" spans="2:2" x14ac:dyDescent="0.25">
      <c r="B1060" s="1"/>
    </row>
    <row r="1061" spans="2:2" x14ac:dyDescent="0.25">
      <c r="B1061" s="1"/>
    </row>
    <row r="1062" spans="2:2" x14ac:dyDescent="0.25">
      <c r="B1062" s="1"/>
    </row>
    <row r="1063" spans="2:2" x14ac:dyDescent="0.25">
      <c r="B1063" s="1"/>
    </row>
    <row r="1064" spans="2:2" x14ac:dyDescent="0.25">
      <c r="B1064" s="1"/>
    </row>
    <row r="1065" spans="2:2" x14ac:dyDescent="0.25">
      <c r="B1065" s="1"/>
    </row>
    <row r="1066" spans="2:2" x14ac:dyDescent="0.25">
      <c r="B1066" s="1"/>
    </row>
    <row r="1067" spans="2:2" x14ac:dyDescent="0.25">
      <c r="B1067" s="1"/>
    </row>
    <row r="1068" spans="2:2" x14ac:dyDescent="0.25">
      <c r="B1068" s="1"/>
    </row>
    <row r="1069" spans="2:2" x14ac:dyDescent="0.25">
      <c r="B1069" s="1"/>
    </row>
    <row r="1070" spans="2:2" x14ac:dyDescent="0.25">
      <c r="B1070" s="1"/>
    </row>
    <row r="1071" spans="2:2" x14ac:dyDescent="0.25">
      <c r="B1071" s="1"/>
    </row>
    <row r="1072" spans="2:2" x14ac:dyDescent="0.25">
      <c r="B1072" s="1"/>
    </row>
    <row r="1073" spans="2:2" x14ac:dyDescent="0.25">
      <c r="B1073" s="1"/>
    </row>
    <row r="1074" spans="2:2" x14ac:dyDescent="0.25">
      <c r="B1074" s="1"/>
    </row>
    <row r="1075" spans="2:2" x14ac:dyDescent="0.25">
      <c r="B1075" s="1"/>
    </row>
    <row r="1076" spans="2:2" x14ac:dyDescent="0.25">
      <c r="B1076" s="1"/>
    </row>
    <row r="1077" spans="2:2" x14ac:dyDescent="0.25">
      <c r="B1077" s="1"/>
    </row>
    <row r="1078" spans="2:2" x14ac:dyDescent="0.25">
      <c r="B1078" s="1"/>
    </row>
    <row r="1079" spans="2:2" x14ac:dyDescent="0.25">
      <c r="B1079" s="1"/>
    </row>
    <row r="1080" spans="2:2" x14ac:dyDescent="0.25">
      <c r="B1080" s="1"/>
    </row>
    <row r="1081" spans="2:2" x14ac:dyDescent="0.25">
      <c r="B1081" s="1"/>
    </row>
    <row r="1082" spans="2:2" x14ac:dyDescent="0.25">
      <c r="B1082" s="1"/>
    </row>
    <row r="1083" spans="2:2" x14ac:dyDescent="0.25">
      <c r="B1083" s="1"/>
    </row>
    <row r="1084" spans="2:2" x14ac:dyDescent="0.25">
      <c r="B1084" s="1"/>
    </row>
    <row r="1085" spans="2:2" x14ac:dyDescent="0.25">
      <c r="B1085" s="1"/>
    </row>
    <row r="1086" spans="2:2" x14ac:dyDescent="0.25">
      <c r="B1086" s="1"/>
    </row>
    <row r="1087" spans="2:2" x14ac:dyDescent="0.25">
      <c r="B1087" s="1"/>
    </row>
    <row r="1088" spans="2:2" x14ac:dyDescent="0.25">
      <c r="B1088" s="1"/>
    </row>
    <row r="1089" spans="2:2" x14ac:dyDescent="0.25">
      <c r="B1089" s="1"/>
    </row>
    <row r="1090" spans="2:2" x14ac:dyDescent="0.25">
      <c r="B1090" s="1"/>
    </row>
    <row r="1091" spans="2:2" x14ac:dyDescent="0.25">
      <c r="B1091" s="1"/>
    </row>
    <row r="1092" spans="2:2" x14ac:dyDescent="0.25">
      <c r="B1092" s="1"/>
    </row>
    <row r="1093" spans="2:2" x14ac:dyDescent="0.25">
      <c r="B1093" s="1"/>
    </row>
    <row r="1094" spans="2:2" x14ac:dyDescent="0.25">
      <c r="B1094" s="1"/>
    </row>
    <row r="1095" spans="2:2" x14ac:dyDescent="0.25">
      <c r="B1095" s="1"/>
    </row>
    <row r="1096" spans="2:2" x14ac:dyDescent="0.25">
      <c r="B1096" s="1"/>
    </row>
    <row r="1097" spans="2:2" x14ac:dyDescent="0.25">
      <c r="B1097" s="1"/>
    </row>
    <row r="1098" spans="2:2" x14ac:dyDescent="0.25">
      <c r="B1098" s="1"/>
    </row>
    <row r="1099" spans="2:2" x14ac:dyDescent="0.25">
      <c r="B1099" s="1"/>
    </row>
    <row r="1100" spans="2:2" x14ac:dyDescent="0.25">
      <c r="B1100" s="1"/>
    </row>
    <row r="1101" spans="2:2" x14ac:dyDescent="0.25">
      <c r="B1101" s="1"/>
    </row>
    <row r="1102" spans="2:2" x14ac:dyDescent="0.25">
      <c r="B1102" s="1"/>
    </row>
    <row r="1103" spans="2:2" x14ac:dyDescent="0.25">
      <c r="B1103" s="1"/>
    </row>
    <row r="1104" spans="2:2" x14ac:dyDescent="0.25">
      <c r="B1104" s="1"/>
    </row>
    <row r="1105" spans="2:2" x14ac:dyDescent="0.25">
      <c r="B1105" s="1"/>
    </row>
    <row r="1106" spans="2:2" x14ac:dyDescent="0.25">
      <c r="B1106" s="1"/>
    </row>
    <row r="1107" spans="2:2" x14ac:dyDescent="0.25">
      <c r="B1107" s="1"/>
    </row>
    <row r="1108" spans="2:2" x14ac:dyDescent="0.25">
      <c r="B1108" s="1"/>
    </row>
    <row r="1109" spans="2:2" x14ac:dyDescent="0.25">
      <c r="B1109" s="1"/>
    </row>
    <row r="1110" spans="2:2" x14ac:dyDescent="0.25">
      <c r="B1110" s="1"/>
    </row>
    <row r="1111" spans="2:2" x14ac:dyDescent="0.25">
      <c r="B1111" s="1"/>
    </row>
    <row r="1112" spans="2:2" x14ac:dyDescent="0.25">
      <c r="B1112" s="1"/>
    </row>
    <row r="1113" spans="2:2" x14ac:dyDescent="0.25">
      <c r="B1113" s="1"/>
    </row>
    <row r="1114" spans="2:2" x14ac:dyDescent="0.25">
      <c r="B1114" s="1"/>
    </row>
    <row r="1115" spans="2:2" x14ac:dyDescent="0.25">
      <c r="B1115" s="1"/>
    </row>
    <row r="1116" spans="2:2" x14ac:dyDescent="0.25">
      <c r="B1116" s="1"/>
    </row>
    <row r="1117" spans="2:2" x14ac:dyDescent="0.25">
      <c r="B1117" s="1"/>
    </row>
    <row r="1118" spans="2:2" x14ac:dyDescent="0.25">
      <c r="B1118" s="1"/>
    </row>
    <row r="1119" spans="2:2" x14ac:dyDescent="0.25">
      <c r="B1119" s="1"/>
    </row>
    <row r="1120" spans="2:2" x14ac:dyDescent="0.25">
      <c r="B1120" s="1"/>
    </row>
    <row r="1121" spans="2:2" x14ac:dyDescent="0.25">
      <c r="B1121" s="1"/>
    </row>
    <row r="1122" spans="2:2" x14ac:dyDescent="0.25">
      <c r="B1122" s="1"/>
    </row>
    <row r="1123" spans="2:2" x14ac:dyDescent="0.25">
      <c r="B1123" s="1"/>
    </row>
    <row r="1124" spans="2:2" x14ac:dyDescent="0.25">
      <c r="B1124" s="1"/>
    </row>
    <row r="1125" spans="2:2" x14ac:dyDescent="0.25">
      <c r="B1125" s="1"/>
    </row>
    <row r="1126" spans="2:2" x14ac:dyDescent="0.25">
      <c r="B1126" s="1"/>
    </row>
    <row r="1127" spans="2:2" x14ac:dyDescent="0.25">
      <c r="B1127" s="1"/>
    </row>
    <row r="1128" spans="2:2" x14ac:dyDescent="0.25">
      <c r="B1128" s="1"/>
    </row>
    <row r="1129" spans="2:2" x14ac:dyDescent="0.25">
      <c r="B1129" s="1"/>
    </row>
    <row r="1130" spans="2:2" x14ac:dyDescent="0.25">
      <c r="B1130" s="1"/>
    </row>
    <row r="1131" spans="2:2" x14ac:dyDescent="0.25">
      <c r="B1131" s="1"/>
    </row>
    <row r="1132" spans="2:2" x14ac:dyDescent="0.25">
      <c r="B1132" s="1"/>
    </row>
    <row r="1133" spans="2:2" x14ac:dyDescent="0.25">
      <c r="B1133" s="1"/>
    </row>
    <row r="1134" spans="2:2" x14ac:dyDescent="0.25">
      <c r="B1134" s="1"/>
    </row>
    <row r="1135" spans="2:2" x14ac:dyDescent="0.25">
      <c r="B1135" s="1"/>
    </row>
    <row r="1136" spans="2:2" x14ac:dyDescent="0.25">
      <c r="B1136" s="1"/>
    </row>
    <row r="1137" spans="2:2" x14ac:dyDescent="0.25">
      <c r="B1137" s="1"/>
    </row>
    <row r="1138" spans="2:2" x14ac:dyDescent="0.25">
      <c r="B1138" s="1"/>
    </row>
    <row r="1139" spans="2:2" x14ac:dyDescent="0.25">
      <c r="B1139" s="1"/>
    </row>
    <row r="1140" spans="2:2" x14ac:dyDescent="0.25">
      <c r="B1140" s="1"/>
    </row>
    <row r="1141" spans="2:2" x14ac:dyDescent="0.25">
      <c r="B1141" s="1"/>
    </row>
    <row r="1142" spans="2:2" x14ac:dyDescent="0.25">
      <c r="B1142" s="1"/>
    </row>
    <row r="1143" spans="2:2" x14ac:dyDescent="0.25">
      <c r="B1143" s="1"/>
    </row>
    <row r="1144" spans="2:2" x14ac:dyDescent="0.25">
      <c r="B1144" s="1"/>
    </row>
    <row r="1145" spans="2:2" x14ac:dyDescent="0.25">
      <c r="B1145" s="1"/>
    </row>
    <row r="1146" spans="2:2" x14ac:dyDescent="0.25">
      <c r="B1146" s="1"/>
    </row>
    <row r="1147" spans="2:2" x14ac:dyDescent="0.25">
      <c r="B1147" s="1"/>
    </row>
    <row r="1148" spans="2:2" x14ac:dyDescent="0.25">
      <c r="B1148" s="1"/>
    </row>
    <row r="1149" spans="2:2" x14ac:dyDescent="0.25">
      <c r="B1149" s="1"/>
    </row>
    <row r="1150" spans="2:2" x14ac:dyDescent="0.25">
      <c r="B1150" s="1"/>
    </row>
    <row r="1151" spans="2:2" x14ac:dyDescent="0.25">
      <c r="B1151" s="1"/>
    </row>
    <row r="1152" spans="2:2" x14ac:dyDescent="0.25">
      <c r="B1152" s="1"/>
    </row>
    <row r="1153" spans="2:2" x14ac:dyDescent="0.25">
      <c r="B1153" s="1"/>
    </row>
    <row r="1154" spans="2:2" x14ac:dyDescent="0.25">
      <c r="B1154" s="1"/>
    </row>
    <row r="1155" spans="2:2" x14ac:dyDescent="0.25">
      <c r="B1155" s="1"/>
    </row>
    <row r="1156" spans="2:2" x14ac:dyDescent="0.25">
      <c r="B1156" s="1"/>
    </row>
    <row r="1157" spans="2:2" x14ac:dyDescent="0.25">
      <c r="B1157" s="1"/>
    </row>
    <row r="1158" spans="2:2" x14ac:dyDescent="0.25">
      <c r="B1158" s="1"/>
    </row>
    <row r="1159" spans="2:2" x14ac:dyDescent="0.25">
      <c r="B1159" s="1"/>
    </row>
    <row r="1160" spans="2:2" x14ac:dyDescent="0.25">
      <c r="B1160" s="1"/>
    </row>
    <row r="1161" spans="2:2" x14ac:dyDescent="0.25">
      <c r="B1161" s="1"/>
    </row>
    <row r="1162" spans="2:2" x14ac:dyDescent="0.25">
      <c r="B1162" s="1"/>
    </row>
    <row r="1163" spans="2:2" x14ac:dyDescent="0.25">
      <c r="B1163" s="1"/>
    </row>
    <row r="1164" spans="2:2" x14ac:dyDescent="0.25">
      <c r="B1164" s="1"/>
    </row>
    <row r="1165" spans="2:2" x14ac:dyDescent="0.25">
      <c r="B1165" s="1"/>
    </row>
    <row r="1166" spans="2:2" x14ac:dyDescent="0.25">
      <c r="B1166" s="1"/>
    </row>
    <row r="1167" spans="2:2" x14ac:dyDescent="0.25">
      <c r="B1167" s="1"/>
    </row>
    <row r="1168" spans="2:2" x14ac:dyDescent="0.25">
      <c r="B1168" s="1"/>
    </row>
    <row r="1169" spans="2:2" x14ac:dyDescent="0.25">
      <c r="B1169" s="1"/>
    </row>
    <row r="1170" spans="2:2" x14ac:dyDescent="0.25">
      <c r="B1170" s="1"/>
    </row>
    <row r="1171" spans="2:2" x14ac:dyDescent="0.25">
      <c r="B1171" s="1"/>
    </row>
    <row r="1172" spans="2:2" x14ac:dyDescent="0.25">
      <c r="B1172" s="1"/>
    </row>
    <row r="1173" spans="2:2" x14ac:dyDescent="0.25">
      <c r="B1173" s="1"/>
    </row>
    <row r="1174" spans="2:2" x14ac:dyDescent="0.25">
      <c r="B1174" s="1"/>
    </row>
    <row r="1175" spans="2:2" x14ac:dyDescent="0.25">
      <c r="B1175" s="1"/>
    </row>
    <row r="1176" spans="2:2" x14ac:dyDescent="0.25">
      <c r="B1176" s="1"/>
    </row>
    <row r="1177" spans="2:2" x14ac:dyDescent="0.25">
      <c r="B1177" s="1"/>
    </row>
    <row r="1178" spans="2:2" x14ac:dyDescent="0.25">
      <c r="B1178" s="1"/>
    </row>
    <row r="1179" spans="2:2" x14ac:dyDescent="0.25">
      <c r="B1179" s="1"/>
    </row>
    <row r="1180" spans="2:2" x14ac:dyDescent="0.25">
      <c r="B1180" s="1"/>
    </row>
    <row r="1181" spans="2:2" x14ac:dyDescent="0.25">
      <c r="B1181" s="1"/>
    </row>
    <row r="1182" spans="2:2" x14ac:dyDescent="0.25">
      <c r="B1182" s="1"/>
    </row>
    <row r="1183" spans="2:2" x14ac:dyDescent="0.25">
      <c r="B1183" s="1"/>
    </row>
    <row r="1184" spans="2:2" x14ac:dyDescent="0.25">
      <c r="B1184" s="1"/>
    </row>
    <row r="1185" spans="2:2" x14ac:dyDescent="0.25">
      <c r="B1185" s="1"/>
    </row>
    <row r="1186" spans="2:2" x14ac:dyDescent="0.25">
      <c r="B1186" s="1"/>
    </row>
    <row r="1187" spans="2:2" x14ac:dyDescent="0.25">
      <c r="B1187" s="1"/>
    </row>
    <row r="1188" spans="2:2" x14ac:dyDescent="0.25">
      <c r="B1188" s="1"/>
    </row>
    <row r="1189" spans="2:2" x14ac:dyDescent="0.25">
      <c r="B1189" s="1"/>
    </row>
    <row r="1190" spans="2:2" x14ac:dyDescent="0.25">
      <c r="B1190" s="1"/>
    </row>
    <row r="1191" spans="2:2" x14ac:dyDescent="0.25">
      <c r="B1191" s="1"/>
    </row>
    <row r="1192" spans="2:2" x14ac:dyDescent="0.25">
      <c r="B1192" s="1"/>
    </row>
    <row r="1193" spans="2:2" x14ac:dyDescent="0.25">
      <c r="B1193" s="1"/>
    </row>
    <row r="1194" spans="2:2" x14ac:dyDescent="0.25">
      <c r="B1194" s="1"/>
    </row>
    <row r="1195" spans="2:2" x14ac:dyDescent="0.25">
      <c r="B1195" s="1"/>
    </row>
    <row r="1196" spans="2:2" x14ac:dyDescent="0.25">
      <c r="B1196" s="1"/>
    </row>
    <row r="1197" spans="2:2" x14ac:dyDescent="0.25">
      <c r="B1197" s="1"/>
    </row>
    <row r="1198" spans="2:2" x14ac:dyDescent="0.25">
      <c r="B1198" s="1"/>
    </row>
    <row r="1199" spans="2:2" x14ac:dyDescent="0.25">
      <c r="B1199" s="1"/>
    </row>
    <row r="1200" spans="2:2" x14ac:dyDescent="0.25">
      <c r="B1200" s="1"/>
    </row>
    <row r="1201" spans="2:2" x14ac:dyDescent="0.25">
      <c r="B1201" s="1"/>
    </row>
    <row r="1202" spans="2:2" x14ac:dyDescent="0.25">
      <c r="B1202" s="1"/>
    </row>
    <row r="1203" spans="2:2" x14ac:dyDescent="0.25">
      <c r="B1203" s="1"/>
    </row>
    <row r="1204" spans="2:2" x14ac:dyDescent="0.25">
      <c r="B1204" s="1"/>
    </row>
    <row r="1205" spans="2:2" x14ac:dyDescent="0.25">
      <c r="B1205" s="1"/>
    </row>
    <row r="1206" spans="2:2" x14ac:dyDescent="0.25">
      <c r="B1206" s="1"/>
    </row>
    <row r="1207" spans="2:2" x14ac:dyDescent="0.25">
      <c r="B1207" s="1"/>
    </row>
    <row r="1208" spans="2:2" x14ac:dyDescent="0.25">
      <c r="B1208" s="1"/>
    </row>
    <row r="1209" spans="2:2" x14ac:dyDescent="0.25">
      <c r="B1209" s="1"/>
    </row>
    <row r="1210" spans="2:2" x14ac:dyDescent="0.25">
      <c r="B1210" s="1"/>
    </row>
    <row r="1211" spans="2:2" x14ac:dyDescent="0.25">
      <c r="B1211" s="1"/>
    </row>
    <row r="1212" spans="2:2" x14ac:dyDescent="0.25">
      <c r="B1212" s="1"/>
    </row>
    <row r="1213" spans="2:2" x14ac:dyDescent="0.25">
      <c r="B1213" s="1"/>
    </row>
    <row r="1214" spans="2:2" x14ac:dyDescent="0.25">
      <c r="B1214" s="1"/>
    </row>
    <row r="1215" spans="2:2" x14ac:dyDescent="0.25">
      <c r="B1215" s="1"/>
    </row>
    <row r="1216" spans="2:2" x14ac:dyDescent="0.25">
      <c r="B1216" s="1"/>
    </row>
    <row r="1217" spans="2:2" x14ac:dyDescent="0.25">
      <c r="B1217" s="1"/>
    </row>
    <row r="1218" spans="2:2" x14ac:dyDescent="0.25">
      <c r="B1218" s="1"/>
    </row>
    <row r="1219" spans="2:2" x14ac:dyDescent="0.25">
      <c r="B1219" s="1"/>
    </row>
    <row r="1220" spans="2:2" x14ac:dyDescent="0.25">
      <c r="B1220" s="1"/>
    </row>
    <row r="1221" spans="2:2" x14ac:dyDescent="0.25">
      <c r="B1221" s="1"/>
    </row>
    <row r="1222" spans="2:2" x14ac:dyDescent="0.25">
      <c r="B1222" s="1"/>
    </row>
    <row r="1223" spans="2:2" x14ac:dyDescent="0.25">
      <c r="B1223" s="1"/>
    </row>
    <row r="1224" spans="2:2" x14ac:dyDescent="0.25">
      <c r="B1224" s="1"/>
    </row>
    <row r="1225" spans="2:2" x14ac:dyDescent="0.25">
      <c r="B1225" s="1"/>
    </row>
    <row r="1226" spans="2:2" x14ac:dyDescent="0.25">
      <c r="B1226" s="1"/>
    </row>
    <row r="1227" spans="2:2" x14ac:dyDescent="0.25">
      <c r="B1227" s="1"/>
    </row>
    <row r="1228" spans="2:2" x14ac:dyDescent="0.25">
      <c r="B1228" s="1"/>
    </row>
    <row r="1229" spans="2:2" x14ac:dyDescent="0.25">
      <c r="B1229" s="1"/>
    </row>
    <row r="1230" spans="2:2" x14ac:dyDescent="0.25">
      <c r="B1230" s="1"/>
    </row>
    <row r="1231" spans="2:2" x14ac:dyDescent="0.25">
      <c r="B1231" s="1"/>
    </row>
    <row r="1232" spans="2:2" x14ac:dyDescent="0.25">
      <c r="B1232" s="1"/>
    </row>
    <row r="1233" spans="2:2" x14ac:dyDescent="0.25">
      <c r="B1233" s="1"/>
    </row>
    <row r="1234" spans="2:2" x14ac:dyDescent="0.25">
      <c r="B1234" s="1"/>
    </row>
    <row r="1235" spans="2:2" x14ac:dyDescent="0.25">
      <c r="B1235" s="1"/>
    </row>
    <row r="1236" spans="2:2" x14ac:dyDescent="0.25">
      <c r="B1236" s="1"/>
    </row>
    <row r="1237" spans="2:2" x14ac:dyDescent="0.25">
      <c r="B1237" s="1"/>
    </row>
    <row r="1238" spans="2:2" x14ac:dyDescent="0.25">
      <c r="B1238" s="1"/>
    </row>
    <row r="1239" spans="2:2" x14ac:dyDescent="0.25">
      <c r="B1239" s="1"/>
    </row>
    <row r="1240" spans="2:2" x14ac:dyDescent="0.25">
      <c r="B1240" s="1"/>
    </row>
    <row r="1241" spans="2:2" x14ac:dyDescent="0.25">
      <c r="B1241" s="1"/>
    </row>
    <row r="1242" spans="2:2" x14ac:dyDescent="0.25">
      <c r="B1242" s="1"/>
    </row>
    <row r="1243" spans="2:2" x14ac:dyDescent="0.25">
      <c r="B1243" s="1"/>
    </row>
    <row r="1244" spans="2:2" x14ac:dyDescent="0.25">
      <c r="B1244" s="1"/>
    </row>
    <row r="1245" spans="2:2" x14ac:dyDescent="0.25">
      <c r="B1245" s="1"/>
    </row>
    <row r="1246" spans="2:2" x14ac:dyDescent="0.25">
      <c r="B1246" s="1"/>
    </row>
    <row r="1247" spans="2:2" x14ac:dyDescent="0.25">
      <c r="B1247" s="1"/>
    </row>
    <row r="1248" spans="2:2" x14ac:dyDescent="0.25">
      <c r="B1248" s="1"/>
    </row>
    <row r="1249" spans="2:2" x14ac:dyDescent="0.25">
      <c r="B1249" s="1"/>
    </row>
    <row r="1250" spans="2:2" x14ac:dyDescent="0.25">
      <c r="B1250" s="1"/>
    </row>
    <row r="1251" spans="2:2" x14ac:dyDescent="0.25">
      <c r="B1251" s="1"/>
    </row>
    <row r="1252" spans="2:2" x14ac:dyDescent="0.25">
      <c r="B1252" s="1"/>
    </row>
    <row r="1253" spans="2:2" x14ac:dyDescent="0.25">
      <c r="B1253" s="1"/>
    </row>
    <row r="1254" spans="2:2" x14ac:dyDescent="0.25">
      <c r="B1254" s="1"/>
    </row>
    <row r="1255" spans="2:2" x14ac:dyDescent="0.25">
      <c r="B1255" s="1"/>
    </row>
    <row r="1256" spans="2:2" x14ac:dyDescent="0.25">
      <c r="B1256" s="1"/>
    </row>
    <row r="1257" spans="2:2" x14ac:dyDescent="0.25">
      <c r="B1257" s="1"/>
    </row>
    <row r="1258" spans="2:2" x14ac:dyDescent="0.25">
      <c r="B1258" s="1"/>
    </row>
    <row r="1259" spans="2:2" x14ac:dyDescent="0.25">
      <c r="B1259" s="1"/>
    </row>
    <row r="1260" spans="2:2" x14ac:dyDescent="0.25">
      <c r="B1260" s="1"/>
    </row>
    <row r="1261" spans="2:2" x14ac:dyDescent="0.25">
      <c r="B1261" s="1"/>
    </row>
    <row r="1262" spans="2:2" x14ac:dyDescent="0.25">
      <c r="B1262" s="1"/>
    </row>
    <row r="1263" spans="2:2" x14ac:dyDescent="0.25">
      <c r="B1263" s="1"/>
    </row>
    <row r="1264" spans="2:2" x14ac:dyDescent="0.25">
      <c r="B1264" s="1"/>
    </row>
    <row r="1265" spans="2:2" x14ac:dyDescent="0.25">
      <c r="B1265" s="1"/>
    </row>
    <row r="1266" spans="2:2" x14ac:dyDescent="0.25">
      <c r="B1266" s="1"/>
    </row>
    <row r="1267" spans="2:2" x14ac:dyDescent="0.25">
      <c r="B1267" s="1"/>
    </row>
    <row r="1268" spans="2:2" x14ac:dyDescent="0.25">
      <c r="B1268" s="1"/>
    </row>
    <row r="1269" spans="2:2" x14ac:dyDescent="0.25">
      <c r="B1269" s="1"/>
    </row>
    <row r="1270" spans="2:2" x14ac:dyDescent="0.25">
      <c r="B1270" s="1"/>
    </row>
    <row r="1271" spans="2:2" x14ac:dyDescent="0.25">
      <c r="B1271" s="1"/>
    </row>
    <row r="1272" spans="2:2" x14ac:dyDescent="0.25">
      <c r="B1272" s="1"/>
    </row>
    <row r="1273" spans="2:2" x14ac:dyDescent="0.25">
      <c r="B1273" s="1"/>
    </row>
    <row r="1274" spans="2:2" x14ac:dyDescent="0.25">
      <c r="B1274" s="1"/>
    </row>
    <row r="1275" spans="2:2" x14ac:dyDescent="0.25">
      <c r="B1275" s="1"/>
    </row>
    <row r="1276" spans="2:2" x14ac:dyDescent="0.25">
      <c r="B1276" s="1"/>
    </row>
    <row r="1277" spans="2:2" x14ac:dyDescent="0.25">
      <c r="B1277" s="1"/>
    </row>
    <row r="1278" spans="2:2" x14ac:dyDescent="0.25">
      <c r="B1278" s="1"/>
    </row>
    <row r="1279" spans="2:2" x14ac:dyDescent="0.25">
      <c r="B1279" s="1"/>
    </row>
    <row r="1280" spans="2:2" x14ac:dyDescent="0.25">
      <c r="B1280" s="1"/>
    </row>
    <row r="1281" spans="2:2" x14ac:dyDescent="0.25">
      <c r="B1281" s="1"/>
    </row>
    <row r="1282" spans="2:2" x14ac:dyDescent="0.25">
      <c r="B1282" s="1"/>
    </row>
    <row r="1283" spans="2:2" x14ac:dyDescent="0.25">
      <c r="B1283" s="1"/>
    </row>
    <row r="1284" spans="2:2" x14ac:dyDescent="0.25">
      <c r="B1284" s="1"/>
    </row>
    <row r="1285" spans="2:2" x14ac:dyDescent="0.25">
      <c r="B1285" s="1"/>
    </row>
    <row r="1286" spans="2:2" x14ac:dyDescent="0.25">
      <c r="B1286" s="1"/>
    </row>
    <row r="1287" spans="2:2" x14ac:dyDescent="0.25">
      <c r="B1287" s="1"/>
    </row>
    <row r="1288" spans="2:2" x14ac:dyDescent="0.25">
      <c r="B1288" s="1"/>
    </row>
    <row r="1289" spans="2:2" x14ac:dyDescent="0.25">
      <c r="B1289" s="1"/>
    </row>
    <row r="1290" spans="2:2" x14ac:dyDescent="0.25">
      <c r="B1290" s="1"/>
    </row>
    <row r="1291" spans="2:2" x14ac:dyDescent="0.25">
      <c r="B1291" s="1"/>
    </row>
    <row r="1292" spans="2:2" x14ac:dyDescent="0.25">
      <c r="B1292" s="1"/>
    </row>
    <row r="1293" spans="2:2" x14ac:dyDescent="0.25">
      <c r="B1293" s="1"/>
    </row>
    <row r="1294" spans="2:2" x14ac:dyDescent="0.25">
      <c r="B1294" s="1"/>
    </row>
    <row r="1295" spans="2:2" x14ac:dyDescent="0.25">
      <c r="B1295" s="1"/>
    </row>
    <row r="1296" spans="2:2" x14ac:dyDescent="0.25">
      <c r="B1296" s="1"/>
    </row>
    <row r="1297" spans="2:2" x14ac:dyDescent="0.25">
      <c r="B1297" s="1"/>
    </row>
    <row r="1298" spans="2:2" x14ac:dyDescent="0.25">
      <c r="B1298" s="1"/>
    </row>
    <row r="1299" spans="2:2" x14ac:dyDescent="0.25">
      <c r="B1299" s="1"/>
    </row>
    <row r="1300" spans="2:2" x14ac:dyDescent="0.25">
      <c r="B1300" s="1"/>
    </row>
    <row r="1301" spans="2:2" x14ac:dyDescent="0.25">
      <c r="B1301" s="1"/>
    </row>
    <row r="1302" spans="2:2" x14ac:dyDescent="0.25">
      <c r="B1302" s="1"/>
    </row>
    <row r="1303" spans="2:2" x14ac:dyDescent="0.25">
      <c r="B1303" s="1"/>
    </row>
    <row r="1304" spans="2:2" x14ac:dyDescent="0.25">
      <c r="B1304" s="1"/>
    </row>
    <row r="1305" spans="2:2" x14ac:dyDescent="0.25">
      <c r="B1305" s="1"/>
    </row>
    <row r="1306" spans="2:2" x14ac:dyDescent="0.25">
      <c r="B1306" s="1"/>
    </row>
    <row r="1307" spans="2:2" x14ac:dyDescent="0.25">
      <c r="B1307" s="1"/>
    </row>
    <row r="1308" spans="2:2" x14ac:dyDescent="0.25">
      <c r="B1308" s="1"/>
    </row>
    <row r="1309" spans="2:2" x14ac:dyDescent="0.25">
      <c r="B1309" s="1"/>
    </row>
    <row r="1310" spans="2:2" x14ac:dyDescent="0.25">
      <c r="B1310" s="1"/>
    </row>
    <row r="1311" spans="2:2" x14ac:dyDescent="0.25">
      <c r="B1311" s="1"/>
    </row>
    <row r="1312" spans="2:2" x14ac:dyDescent="0.25">
      <c r="B1312" s="1"/>
    </row>
    <row r="1313" spans="2:2" x14ac:dyDescent="0.25">
      <c r="B1313" s="1"/>
    </row>
    <row r="1314" spans="2:2" x14ac:dyDescent="0.25">
      <c r="B1314" s="1"/>
    </row>
    <row r="1315" spans="2:2" x14ac:dyDescent="0.25">
      <c r="B1315" s="1"/>
    </row>
    <row r="1316" spans="2:2" x14ac:dyDescent="0.25">
      <c r="B1316" s="1"/>
    </row>
    <row r="1317" spans="2:2" x14ac:dyDescent="0.25">
      <c r="B1317" s="1"/>
    </row>
    <row r="1318" spans="2:2" x14ac:dyDescent="0.25">
      <c r="B1318" s="1"/>
    </row>
    <row r="1319" spans="2:2" x14ac:dyDescent="0.25">
      <c r="B1319" s="1"/>
    </row>
    <row r="1320" spans="2:2" x14ac:dyDescent="0.25">
      <c r="B1320" s="1"/>
    </row>
    <row r="1321" spans="2:2" x14ac:dyDescent="0.25">
      <c r="B1321" s="1"/>
    </row>
    <row r="1322" spans="2:2" x14ac:dyDescent="0.25">
      <c r="B1322" s="1"/>
    </row>
    <row r="1323" spans="2:2" x14ac:dyDescent="0.25">
      <c r="B1323" s="1"/>
    </row>
    <row r="1324" spans="2:2" x14ac:dyDescent="0.25">
      <c r="B1324" s="1"/>
    </row>
    <row r="1325" spans="2:2" x14ac:dyDescent="0.25">
      <c r="B1325" s="1"/>
    </row>
    <row r="1326" spans="2:2" x14ac:dyDescent="0.25">
      <c r="B1326" s="1"/>
    </row>
    <row r="1327" spans="2:2" x14ac:dyDescent="0.25">
      <c r="B1327" s="1"/>
    </row>
    <row r="1328" spans="2:2" x14ac:dyDescent="0.25">
      <c r="B1328" s="1"/>
    </row>
    <row r="1329" spans="2:2" x14ac:dyDescent="0.25">
      <c r="B1329" s="1"/>
    </row>
    <row r="1330" spans="2:2" x14ac:dyDescent="0.25">
      <c r="B1330" s="1"/>
    </row>
    <row r="1331" spans="2:2" x14ac:dyDescent="0.25">
      <c r="B1331" s="1"/>
    </row>
    <row r="1332" spans="2:2" x14ac:dyDescent="0.25">
      <c r="B1332" s="1"/>
    </row>
    <row r="1333" spans="2:2" x14ac:dyDescent="0.25">
      <c r="B1333" s="1"/>
    </row>
    <row r="1334" spans="2:2" x14ac:dyDescent="0.25">
      <c r="B1334" s="1"/>
    </row>
    <row r="1335" spans="2:2" x14ac:dyDescent="0.25">
      <c r="B1335" s="1"/>
    </row>
    <row r="1336" spans="2:2" x14ac:dyDescent="0.25">
      <c r="B1336" s="1"/>
    </row>
    <row r="1337" spans="2:2" x14ac:dyDescent="0.25">
      <c r="B1337" s="1"/>
    </row>
    <row r="1338" spans="2:2" x14ac:dyDescent="0.25">
      <c r="B1338" s="1"/>
    </row>
    <row r="1339" spans="2:2" x14ac:dyDescent="0.25">
      <c r="B1339" s="1"/>
    </row>
    <row r="1340" spans="2:2" x14ac:dyDescent="0.25">
      <c r="B1340" s="1"/>
    </row>
    <row r="1341" spans="2:2" x14ac:dyDescent="0.25">
      <c r="B1341" s="1"/>
    </row>
    <row r="1342" spans="2:2" x14ac:dyDescent="0.25">
      <c r="B1342" s="1"/>
    </row>
    <row r="1343" spans="2:2" x14ac:dyDescent="0.25">
      <c r="B1343" s="1"/>
    </row>
    <row r="1344" spans="2:2" x14ac:dyDescent="0.25">
      <c r="B1344" s="1"/>
    </row>
    <row r="1345" spans="2:2" x14ac:dyDescent="0.25">
      <c r="B1345" s="1"/>
    </row>
    <row r="1346" spans="2:2" x14ac:dyDescent="0.25">
      <c r="B1346" s="1"/>
    </row>
    <row r="1347" spans="2:2" x14ac:dyDescent="0.25">
      <c r="B1347" s="1"/>
    </row>
    <row r="1348" spans="2:2" x14ac:dyDescent="0.25">
      <c r="B1348" s="1"/>
    </row>
    <row r="1349" spans="2:2" x14ac:dyDescent="0.25">
      <c r="B1349" s="1"/>
    </row>
    <row r="1350" spans="2:2" x14ac:dyDescent="0.25">
      <c r="B1350" s="1"/>
    </row>
    <row r="1351" spans="2:2" x14ac:dyDescent="0.25">
      <c r="B1351" s="1"/>
    </row>
    <row r="1352" spans="2:2" x14ac:dyDescent="0.25">
      <c r="B1352" s="1"/>
    </row>
    <row r="1353" spans="2:2" x14ac:dyDescent="0.25">
      <c r="B1353" s="1"/>
    </row>
    <row r="1354" spans="2:2" x14ac:dyDescent="0.25">
      <c r="B1354" s="1"/>
    </row>
    <row r="1355" spans="2:2" x14ac:dyDescent="0.25">
      <c r="B1355" s="1"/>
    </row>
    <row r="1356" spans="2:2" x14ac:dyDescent="0.25">
      <c r="B1356" s="1"/>
    </row>
    <row r="1357" spans="2:2" x14ac:dyDescent="0.25">
      <c r="B1357" s="1"/>
    </row>
    <row r="1358" spans="2:2" x14ac:dyDescent="0.25">
      <c r="B1358" s="1"/>
    </row>
    <row r="1359" spans="2:2" x14ac:dyDescent="0.25">
      <c r="B1359" s="1"/>
    </row>
    <row r="1360" spans="2:2" x14ac:dyDescent="0.25">
      <c r="B1360" s="1"/>
    </row>
    <row r="1361" spans="2:2" x14ac:dyDescent="0.25">
      <c r="B1361" s="1"/>
    </row>
    <row r="1362" spans="2:2" x14ac:dyDescent="0.25">
      <c r="B1362" s="1"/>
    </row>
    <row r="1363" spans="2:2" x14ac:dyDescent="0.25">
      <c r="B1363" s="1"/>
    </row>
    <row r="1364" spans="2:2" x14ac:dyDescent="0.25">
      <c r="B1364" s="1"/>
    </row>
    <row r="1365" spans="2:2" x14ac:dyDescent="0.25">
      <c r="B1365" s="1"/>
    </row>
    <row r="1366" spans="2:2" x14ac:dyDescent="0.25">
      <c r="B1366" s="1"/>
    </row>
    <row r="1367" spans="2:2" x14ac:dyDescent="0.25">
      <c r="B1367" s="1"/>
    </row>
    <row r="1368" spans="2:2" x14ac:dyDescent="0.25">
      <c r="B1368" s="1"/>
    </row>
    <row r="1369" spans="2:2" x14ac:dyDescent="0.25">
      <c r="B1369" s="1"/>
    </row>
    <row r="1370" spans="2:2" x14ac:dyDescent="0.25">
      <c r="B1370" s="1"/>
    </row>
    <row r="1371" spans="2:2" x14ac:dyDescent="0.25">
      <c r="B1371" s="1"/>
    </row>
    <row r="1372" spans="2:2" x14ac:dyDescent="0.25">
      <c r="B1372" s="1"/>
    </row>
    <row r="1373" spans="2:2" x14ac:dyDescent="0.25">
      <c r="B1373" s="1"/>
    </row>
    <row r="1374" spans="2:2" x14ac:dyDescent="0.25">
      <c r="B1374" s="1"/>
    </row>
    <row r="1375" spans="2:2" x14ac:dyDescent="0.25">
      <c r="B1375" s="1"/>
    </row>
    <row r="1376" spans="2:2" x14ac:dyDescent="0.25">
      <c r="B1376" s="1"/>
    </row>
    <row r="1377" spans="2:2" x14ac:dyDescent="0.25">
      <c r="B1377" s="1"/>
    </row>
    <row r="1378" spans="2:2" x14ac:dyDescent="0.25">
      <c r="B1378" s="1"/>
    </row>
    <row r="1379" spans="2:2" x14ac:dyDescent="0.25">
      <c r="B1379" s="1"/>
    </row>
    <row r="1380" spans="2:2" x14ac:dyDescent="0.25">
      <c r="B1380" s="1"/>
    </row>
    <row r="1381" spans="2:2" x14ac:dyDescent="0.25">
      <c r="B1381" s="1"/>
    </row>
    <row r="1382" spans="2:2" x14ac:dyDescent="0.25">
      <c r="B1382" s="1"/>
    </row>
    <row r="1383" spans="2:2" x14ac:dyDescent="0.25">
      <c r="B1383" s="1"/>
    </row>
    <row r="1384" spans="2:2" x14ac:dyDescent="0.25">
      <c r="B1384" s="1"/>
    </row>
    <row r="1385" spans="2:2" x14ac:dyDescent="0.25">
      <c r="B1385" s="1"/>
    </row>
    <row r="1386" spans="2:2" x14ac:dyDescent="0.25">
      <c r="B1386" s="1"/>
    </row>
    <row r="1387" spans="2:2" x14ac:dyDescent="0.25">
      <c r="B1387" s="1"/>
    </row>
    <row r="1388" spans="2:2" x14ac:dyDescent="0.25">
      <c r="B1388" s="1"/>
    </row>
    <row r="1389" spans="2:2" x14ac:dyDescent="0.25">
      <c r="B1389" s="1"/>
    </row>
    <row r="1390" spans="2:2" x14ac:dyDescent="0.25">
      <c r="B1390" s="1"/>
    </row>
    <row r="1391" spans="2:2" x14ac:dyDescent="0.25">
      <c r="B1391" s="1"/>
    </row>
    <row r="1392" spans="2:2" x14ac:dyDescent="0.25">
      <c r="B1392" s="1"/>
    </row>
    <row r="1393" spans="2:2" x14ac:dyDescent="0.25">
      <c r="B1393" s="1"/>
    </row>
    <row r="1394" spans="2:2" x14ac:dyDescent="0.25">
      <c r="B1394" s="1"/>
    </row>
    <row r="1395" spans="2:2" x14ac:dyDescent="0.25">
      <c r="B1395" s="1"/>
    </row>
    <row r="1396" spans="2:2" x14ac:dyDescent="0.25">
      <c r="B1396" s="1"/>
    </row>
    <row r="1397" spans="2:2" x14ac:dyDescent="0.25">
      <c r="B1397" s="1"/>
    </row>
    <row r="1398" spans="2:2" x14ac:dyDescent="0.25">
      <c r="B1398" s="1"/>
    </row>
    <row r="1399" spans="2:2" x14ac:dyDescent="0.25">
      <c r="B1399" s="1"/>
    </row>
    <row r="1400" spans="2:2" x14ac:dyDescent="0.25">
      <c r="B1400" s="1"/>
    </row>
    <row r="1401" spans="2:2" x14ac:dyDescent="0.25">
      <c r="B1401" s="1"/>
    </row>
    <row r="1402" spans="2:2" x14ac:dyDescent="0.25">
      <c r="B1402" s="1"/>
    </row>
    <row r="1403" spans="2:2" x14ac:dyDescent="0.25">
      <c r="B1403" s="1"/>
    </row>
    <row r="1404" spans="2:2" x14ac:dyDescent="0.25">
      <c r="B1404" s="1"/>
    </row>
    <row r="1405" spans="2:2" x14ac:dyDescent="0.25">
      <c r="B1405" s="1"/>
    </row>
    <row r="1406" spans="2:2" x14ac:dyDescent="0.25">
      <c r="B1406" s="1"/>
    </row>
    <row r="1407" spans="2:2" x14ac:dyDescent="0.25">
      <c r="B1407" s="1"/>
    </row>
    <row r="1408" spans="2:2" x14ac:dyDescent="0.25">
      <c r="B1408" s="1"/>
    </row>
    <row r="1409" spans="2:2" x14ac:dyDescent="0.25">
      <c r="B1409" s="1"/>
    </row>
    <row r="1410" spans="2:2" x14ac:dyDescent="0.25">
      <c r="B1410" s="1"/>
    </row>
    <row r="1411" spans="2:2" x14ac:dyDescent="0.25">
      <c r="B1411" s="1"/>
    </row>
    <row r="1412" spans="2:2" x14ac:dyDescent="0.25">
      <c r="B1412" s="1"/>
    </row>
    <row r="1413" spans="2:2" x14ac:dyDescent="0.25">
      <c r="B1413" s="1"/>
    </row>
    <row r="1414" spans="2:2" x14ac:dyDescent="0.25">
      <c r="B1414" s="1"/>
    </row>
    <row r="1415" spans="2:2" x14ac:dyDescent="0.25">
      <c r="B1415" s="1"/>
    </row>
    <row r="1416" spans="2:2" x14ac:dyDescent="0.25">
      <c r="B1416" s="1"/>
    </row>
    <row r="1417" spans="2:2" x14ac:dyDescent="0.25">
      <c r="B1417" s="1"/>
    </row>
    <row r="1418" spans="2:2" x14ac:dyDescent="0.25">
      <c r="B1418" s="1"/>
    </row>
    <row r="1419" spans="2:2" x14ac:dyDescent="0.25">
      <c r="B1419" s="1"/>
    </row>
    <row r="1420" spans="2:2" x14ac:dyDescent="0.25">
      <c r="B1420" s="1"/>
    </row>
    <row r="1421" spans="2:2" x14ac:dyDescent="0.25">
      <c r="B1421" s="1"/>
    </row>
    <row r="1422" spans="2:2" x14ac:dyDescent="0.25">
      <c r="B1422" s="1"/>
    </row>
    <row r="1423" spans="2:2" x14ac:dyDescent="0.25">
      <c r="B1423" s="1"/>
    </row>
    <row r="1424" spans="2:2" x14ac:dyDescent="0.25">
      <c r="B1424" s="1"/>
    </row>
    <row r="1425" spans="2:2" x14ac:dyDescent="0.25">
      <c r="B1425" s="1"/>
    </row>
    <row r="1426" spans="2:2" x14ac:dyDescent="0.25">
      <c r="B1426" s="1"/>
    </row>
    <row r="1427" spans="2:2" x14ac:dyDescent="0.25">
      <c r="B1427" s="1"/>
    </row>
    <row r="1428" spans="2:2" x14ac:dyDescent="0.25">
      <c r="B1428" s="1"/>
    </row>
    <row r="1429" spans="2:2" x14ac:dyDescent="0.25">
      <c r="B1429" s="1"/>
    </row>
    <row r="1430" spans="2:2" x14ac:dyDescent="0.25">
      <c r="B1430" s="1"/>
    </row>
    <row r="1431" spans="2:2" x14ac:dyDescent="0.25">
      <c r="B1431" s="1"/>
    </row>
    <row r="1432" spans="2:2" x14ac:dyDescent="0.25">
      <c r="B1432" s="1"/>
    </row>
    <row r="1433" spans="2:2" x14ac:dyDescent="0.25">
      <c r="B1433" s="1"/>
    </row>
    <row r="1434" spans="2:2" x14ac:dyDescent="0.25">
      <c r="B1434" s="1"/>
    </row>
    <row r="1435" spans="2:2" x14ac:dyDescent="0.25">
      <c r="B1435" s="1"/>
    </row>
    <row r="1436" spans="2:2" x14ac:dyDescent="0.25">
      <c r="B1436" s="1"/>
    </row>
    <row r="1437" spans="2:2" x14ac:dyDescent="0.25">
      <c r="B1437" s="1"/>
    </row>
    <row r="1438" spans="2:2" x14ac:dyDescent="0.25">
      <c r="B1438" s="1"/>
    </row>
    <row r="1439" spans="2:2" x14ac:dyDescent="0.25">
      <c r="B1439" s="1"/>
    </row>
    <row r="1440" spans="2:2" x14ac:dyDescent="0.25">
      <c r="B1440" s="1"/>
    </row>
    <row r="1441" spans="2:2" x14ac:dyDescent="0.25">
      <c r="B1441" s="1"/>
    </row>
    <row r="1442" spans="2:2" x14ac:dyDescent="0.25">
      <c r="B1442" s="1"/>
    </row>
    <row r="1443" spans="2:2" x14ac:dyDescent="0.25">
      <c r="B1443" s="1"/>
    </row>
    <row r="1444" spans="2:2" x14ac:dyDescent="0.25">
      <c r="B1444" s="1"/>
    </row>
    <row r="1445" spans="2:2" x14ac:dyDescent="0.25">
      <c r="B1445" s="1"/>
    </row>
    <row r="1446" spans="2:2" x14ac:dyDescent="0.25">
      <c r="B1446" s="1"/>
    </row>
    <row r="1447" spans="2:2" x14ac:dyDescent="0.25">
      <c r="B1447" s="1"/>
    </row>
    <row r="1448" spans="2:2" x14ac:dyDescent="0.25">
      <c r="B1448" s="1"/>
    </row>
    <row r="1449" spans="2:2" x14ac:dyDescent="0.25">
      <c r="B1449" s="1"/>
    </row>
    <row r="1450" spans="2:2" x14ac:dyDescent="0.25">
      <c r="B1450" s="1"/>
    </row>
    <row r="1451" spans="2:2" x14ac:dyDescent="0.25">
      <c r="B1451" s="1"/>
    </row>
    <row r="1452" spans="2:2" x14ac:dyDescent="0.25">
      <c r="B1452" s="1"/>
    </row>
    <row r="1453" spans="2:2" x14ac:dyDescent="0.25">
      <c r="B1453" s="1"/>
    </row>
    <row r="1454" spans="2:2" x14ac:dyDescent="0.25">
      <c r="B1454" s="1"/>
    </row>
    <row r="1455" spans="2:2" x14ac:dyDescent="0.25">
      <c r="B1455" s="1"/>
    </row>
    <row r="1456" spans="2:2" x14ac:dyDescent="0.25">
      <c r="B1456" s="1"/>
    </row>
    <row r="1457" spans="2:2" x14ac:dyDescent="0.25">
      <c r="B1457" s="1"/>
    </row>
    <row r="1458" spans="2:2" x14ac:dyDescent="0.25">
      <c r="B1458" s="1"/>
    </row>
    <row r="1459" spans="2:2" x14ac:dyDescent="0.25">
      <c r="B1459" s="1"/>
    </row>
    <row r="1460" spans="2:2" x14ac:dyDescent="0.25">
      <c r="B1460" s="1"/>
    </row>
    <row r="1461" spans="2:2" x14ac:dyDescent="0.25">
      <c r="B1461" s="1"/>
    </row>
    <row r="1462" spans="2:2" x14ac:dyDescent="0.25">
      <c r="B1462" s="1"/>
    </row>
    <row r="1463" spans="2:2" x14ac:dyDescent="0.25">
      <c r="B1463" s="1"/>
    </row>
    <row r="1464" spans="2:2" x14ac:dyDescent="0.25">
      <c r="B1464" s="1"/>
    </row>
    <row r="1465" spans="2:2" x14ac:dyDescent="0.25">
      <c r="B1465" s="1"/>
    </row>
    <row r="1466" spans="2:2" x14ac:dyDescent="0.25">
      <c r="B1466" s="1"/>
    </row>
    <row r="1467" spans="2:2" x14ac:dyDescent="0.25">
      <c r="B1467" s="1"/>
    </row>
    <row r="1468" spans="2:2" x14ac:dyDescent="0.25">
      <c r="B1468" s="1"/>
    </row>
    <row r="1469" spans="2:2" x14ac:dyDescent="0.25">
      <c r="B1469" s="1"/>
    </row>
    <row r="1470" spans="2:2" x14ac:dyDescent="0.25">
      <c r="B1470" s="1"/>
    </row>
    <row r="1471" spans="2:2" x14ac:dyDescent="0.25">
      <c r="B1471" s="1"/>
    </row>
    <row r="1472" spans="2:2" x14ac:dyDescent="0.25">
      <c r="B1472" s="1"/>
    </row>
    <row r="1473" spans="2:2" x14ac:dyDescent="0.25">
      <c r="B1473" s="1"/>
    </row>
    <row r="1474" spans="2:2" x14ac:dyDescent="0.25">
      <c r="B1474" s="1"/>
    </row>
    <row r="1475" spans="2:2" x14ac:dyDescent="0.25">
      <c r="B1475" s="1"/>
    </row>
    <row r="1476" spans="2:2" x14ac:dyDescent="0.25">
      <c r="B1476" s="1"/>
    </row>
    <row r="1477" spans="2:2" x14ac:dyDescent="0.25">
      <c r="B1477" s="1"/>
    </row>
    <row r="1478" spans="2:2" x14ac:dyDescent="0.25">
      <c r="B1478" s="1"/>
    </row>
    <row r="1479" spans="2:2" x14ac:dyDescent="0.25">
      <c r="B1479" s="1"/>
    </row>
    <row r="1480" spans="2:2" x14ac:dyDescent="0.25">
      <c r="B1480" s="1"/>
    </row>
    <row r="1481" spans="2:2" x14ac:dyDescent="0.25">
      <c r="B1481" s="1"/>
    </row>
    <row r="1482" spans="2:2" x14ac:dyDescent="0.25">
      <c r="B1482" s="1"/>
    </row>
    <row r="1483" spans="2:2" x14ac:dyDescent="0.25">
      <c r="B1483" s="1"/>
    </row>
    <row r="1484" spans="2:2" x14ac:dyDescent="0.25">
      <c r="B1484" s="1"/>
    </row>
    <row r="1485" spans="2:2" x14ac:dyDescent="0.25">
      <c r="B1485" s="1"/>
    </row>
    <row r="1486" spans="2:2" x14ac:dyDescent="0.25">
      <c r="B1486" s="1"/>
    </row>
    <row r="1487" spans="2:2" x14ac:dyDescent="0.25">
      <c r="B1487" s="1"/>
    </row>
    <row r="1488" spans="2:2" x14ac:dyDescent="0.25">
      <c r="B1488" s="1"/>
    </row>
    <row r="1489" spans="2:2" x14ac:dyDescent="0.25">
      <c r="B1489" s="1"/>
    </row>
    <row r="1490" spans="2:2" x14ac:dyDescent="0.25">
      <c r="B1490" s="1"/>
    </row>
    <row r="1491" spans="2:2" x14ac:dyDescent="0.25">
      <c r="B1491" s="1"/>
    </row>
    <row r="1492" spans="2:2" x14ac:dyDescent="0.25">
      <c r="B1492" s="1"/>
    </row>
    <row r="1493" spans="2:2" x14ac:dyDescent="0.25">
      <c r="B1493" s="1"/>
    </row>
    <row r="1494" spans="2:2" x14ac:dyDescent="0.25">
      <c r="B1494" s="1"/>
    </row>
    <row r="1495" spans="2:2" x14ac:dyDescent="0.25">
      <c r="B1495" s="1"/>
    </row>
    <row r="1496" spans="2:2" x14ac:dyDescent="0.25">
      <c r="B1496" s="1"/>
    </row>
    <row r="1497" spans="2:2" x14ac:dyDescent="0.25">
      <c r="B1497" s="1"/>
    </row>
    <row r="1498" spans="2:2" x14ac:dyDescent="0.25">
      <c r="B1498" s="1"/>
    </row>
    <row r="1499" spans="2:2" x14ac:dyDescent="0.25">
      <c r="B1499" s="1"/>
    </row>
    <row r="1500" spans="2:2" x14ac:dyDescent="0.25">
      <c r="B1500" s="1"/>
    </row>
    <row r="1501" spans="2:2" x14ac:dyDescent="0.25">
      <c r="B1501" s="1"/>
    </row>
    <row r="1502" spans="2:2" x14ac:dyDescent="0.25">
      <c r="B1502" s="1"/>
    </row>
    <row r="1503" spans="2:2" x14ac:dyDescent="0.25">
      <c r="B1503" s="1"/>
    </row>
    <row r="1504" spans="2:2" x14ac:dyDescent="0.25">
      <c r="B1504" s="1"/>
    </row>
    <row r="1505" spans="2:2" x14ac:dyDescent="0.25">
      <c r="B1505" s="1"/>
    </row>
    <row r="1506" spans="2:2" x14ac:dyDescent="0.25">
      <c r="B1506" s="1"/>
    </row>
    <row r="1507" spans="2:2" x14ac:dyDescent="0.25">
      <c r="B1507" s="1"/>
    </row>
    <row r="1508" spans="2:2" x14ac:dyDescent="0.25">
      <c r="B1508" s="1"/>
    </row>
    <row r="1509" spans="2:2" x14ac:dyDescent="0.25">
      <c r="B1509" s="1"/>
    </row>
    <row r="1510" spans="2:2" x14ac:dyDescent="0.25">
      <c r="B1510" s="1"/>
    </row>
    <row r="1511" spans="2:2" x14ac:dyDescent="0.25">
      <c r="B1511" s="1"/>
    </row>
    <row r="1512" spans="2:2" x14ac:dyDescent="0.25">
      <c r="B1512" s="1"/>
    </row>
    <row r="1513" spans="2:2" x14ac:dyDescent="0.25">
      <c r="B1513" s="1"/>
    </row>
    <row r="1514" spans="2:2" x14ac:dyDescent="0.25">
      <c r="B1514" s="1"/>
    </row>
    <row r="1515" spans="2:2" x14ac:dyDescent="0.25">
      <c r="B1515" s="1"/>
    </row>
    <row r="1516" spans="2:2" x14ac:dyDescent="0.25">
      <c r="B1516" s="1"/>
    </row>
    <row r="1517" spans="2:2" x14ac:dyDescent="0.25">
      <c r="B1517" s="1"/>
    </row>
    <row r="1518" spans="2:2" x14ac:dyDescent="0.25">
      <c r="B1518" s="1"/>
    </row>
    <row r="1519" spans="2:2" x14ac:dyDescent="0.25">
      <c r="B1519" s="1"/>
    </row>
    <row r="1520" spans="2:2" x14ac:dyDescent="0.25">
      <c r="B1520" s="1"/>
    </row>
    <row r="1521" spans="2:2" x14ac:dyDescent="0.25">
      <c r="B1521" s="1"/>
    </row>
    <row r="1522" spans="2:2" x14ac:dyDescent="0.25">
      <c r="B1522" s="1"/>
    </row>
    <row r="1523" spans="2:2" x14ac:dyDescent="0.25">
      <c r="B1523" s="1"/>
    </row>
    <row r="1524" spans="2:2" x14ac:dyDescent="0.25">
      <c r="B1524" s="1"/>
    </row>
    <row r="1525" spans="2:2" x14ac:dyDescent="0.25">
      <c r="B1525" s="1"/>
    </row>
    <row r="1526" spans="2:2" x14ac:dyDescent="0.25">
      <c r="B1526" s="1"/>
    </row>
    <row r="1527" spans="2:2" x14ac:dyDescent="0.25">
      <c r="B1527" s="1"/>
    </row>
    <row r="1528" spans="2:2" x14ac:dyDescent="0.25">
      <c r="B1528" s="1"/>
    </row>
    <row r="1529" spans="2:2" x14ac:dyDescent="0.25">
      <c r="B1529" s="1"/>
    </row>
    <row r="1530" spans="2:2" x14ac:dyDescent="0.25">
      <c r="B1530" s="1"/>
    </row>
    <row r="1531" spans="2:2" x14ac:dyDescent="0.25">
      <c r="B1531" s="1"/>
    </row>
    <row r="1532" spans="2:2" x14ac:dyDescent="0.25">
      <c r="B1532" s="1"/>
    </row>
    <row r="1533" spans="2:2" x14ac:dyDescent="0.25">
      <c r="B1533" s="1"/>
    </row>
    <row r="1534" spans="2:2" x14ac:dyDescent="0.25">
      <c r="B1534" s="1"/>
    </row>
    <row r="1535" spans="2:2" x14ac:dyDescent="0.25">
      <c r="B1535" s="1"/>
    </row>
    <row r="1536" spans="2:2" x14ac:dyDescent="0.25">
      <c r="B1536" s="1"/>
    </row>
    <row r="1537" spans="2:2" x14ac:dyDescent="0.25">
      <c r="B1537" s="1"/>
    </row>
    <row r="1538" spans="2:2" x14ac:dyDescent="0.25">
      <c r="B1538" s="1"/>
    </row>
    <row r="1539" spans="2:2" x14ac:dyDescent="0.25">
      <c r="B1539" s="1"/>
    </row>
    <row r="1540" spans="2:2" x14ac:dyDescent="0.25">
      <c r="B1540" s="1"/>
    </row>
    <row r="1541" spans="2:2" x14ac:dyDescent="0.25">
      <c r="B1541" s="1"/>
    </row>
    <row r="1542" spans="2:2" x14ac:dyDescent="0.25">
      <c r="B1542" s="1"/>
    </row>
    <row r="1543" spans="2:2" x14ac:dyDescent="0.25">
      <c r="B1543" s="1"/>
    </row>
    <row r="1544" spans="2:2" x14ac:dyDescent="0.25">
      <c r="B1544" s="1"/>
    </row>
    <row r="1545" spans="2:2" x14ac:dyDescent="0.25">
      <c r="B1545" s="1"/>
    </row>
    <row r="1546" spans="2:2" x14ac:dyDescent="0.25">
      <c r="B1546" s="1"/>
    </row>
    <row r="1547" spans="2:2" x14ac:dyDescent="0.25">
      <c r="B1547" s="1"/>
    </row>
    <row r="1548" spans="2:2" x14ac:dyDescent="0.25">
      <c r="B1548" s="1"/>
    </row>
    <row r="1549" spans="2:2" x14ac:dyDescent="0.25">
      <c r="B1549" s="1"/>
    </row>
    <row r="1550" spans="2:2" x14ac:dyDescent="0.25">
      <c r="B1550" s="1"/>
    </row>
    <row r="1551" spans="2:2" x14ac:dyDescent="0.25">
      <c r="B1551" s="1"/>
    </row>
    <row r="1552" spans="2:2" x14ac:dyDescent="0.25">
      <c r="B1552" s="1"/>
    </row>
    <row r="1553" spans="2:2" x14ac:dyDescent="0.25">
      <c r="B1553" s="1"/>
    </row>
    <row r="1554" spans="2:2" x14ac:dyDescent="0.25">
      <c r="B1554" s="1"/>
    </row>
    <row r="1555" spans="2:2" x14ac:dyDescent="0.25">
      <c r="B1555" s="1"/>
    </row>
    <row r="1556" spans="2:2" x14ac:dyDescent="0.25">
      <c r="B1556" s="1"/>
    </row>
    <row r="1557" spans="2:2" x14ac:dyDescent="0.25">
      <c r="B1557" s="1"/>
    </row>
    <row r="1558" spans="2:2" x14ac:dyDescent="0.25">
      <c r="B1558" s="1"/>
    </row>
    <row r="1559" spans="2:2" x14ac:dyDescent="0.25">
      <c r="B1559" s="1"/>
    </row>
    <row r="1560" spans="2:2" x14ac:dyDescent="0.25">
      <c r="B1560" s="1"/>
    </row>
    <row r="1561" spans="2:2" x14ac:dyDescent="0.25">
      <c r="B1561" s="1"/>
    </row>
    <row r="1562" spans="2:2" x14ac:dyDescent="0.25">
      <c r="B1562" s="1"/>
    </row>
    <row r="1563" spans="2:2" x14ac:dyDescent="0.25">
      <c r="B1563" s="1"/>
    </row>
    <row r="1564" spans="2:2" x14ac:dyDescent="0.25">
      <c r="B1564" s="1"/>
    </row>
    <row r="1565" spans="2:2" x14ac:dyDescent="0.25">
      <c r="B1565" s="1"/>
    </row>
    <row r="1566" spans="2:2" x14ac:dyDescent="0.25">
      <c r="B1566" s="1"/>
    </row>
    <row r="1567" spans="2:2" x14ac:dyDescent="0.25">
      <c r="B1567" s="1"/>
    </row>
    <row r="1568" spans="2:2" x14ac:dyDescent="0.25">
      <c r="B1568" s="1"/>
    </row>
    <row r="1569" spans="2:2" x14ac:dyDescent="0.25">
      <c r="B1569" s="1"/>
    </row>
    <row r="1570" spans="2:2" x14ac:dyDescent="0.25">
      <c r="B1570" s="1"/>
    </row>
    <row r="1571" spans="2:2" x14ac:dyDescent="0.25">
      <c r="B1571" s="1"/>
    </row>
    <row r="1572" spans="2:2" x14ac:dyDescent="0.25">
      <c r="B1572" s="1"/>
    </row>
    <row r="1573" spans="2:2" x14ac:dyDescent="0.25">
      <c r="B1573" s="1"/>
    </row>
    <row r="1574" spans="2:2" x14ac:dyDescent="0.25">
      <c r="B1574" s="1"/>
    </row>
    <row r="1575" spans="2:2" x14ac:dyDescent="0.25">
      <c r="B1575" s="1"/>
    </row>
    <row r="1576" spans="2:2" x14ac:dyDescent="0.25">
      <c r="B1576" s="1"/>
    </row>
    <row r="1577" spans="2:2" x14ac:dyDescent="0.25">
      <c r="B1577" s="1"/>
    </row>
    <row r="1578" spans="2:2" x14ac:dyDescent="0.25">
      <c r="B1578" s="1"/>
    </row>
    <row r="1579" spans="2:2" x14ac:dyDescent="0.25">
      <c r="B1579" s="1"/>
    </row>
    <row r="1580" spans="2:2" x14ac:dyDescent="0.25">
      <c r="B1580" s="1"/>
    </row>
    <row r="1581" spans="2:2" x14ac:dyDescent="0.25">
      <c r="B1581" s="1"/>
    </row>
    <row r="1582" spans="2:2" x14ac:dyDescent="0.25">
      <c r="B1582" s="1"/>
    </row>
    <row r="1583" spans="2:2" x14ac:dyDescent="0.25">
      <c r="B1583" s="1"/>
    </row>
    <row r="1584" spans="2:2" x14ac:dyDescent="0.25">
      <c r="B1584" s="1"/>
    </row>
    <row r="1585" spans="2:2" x14ac:dyDescent="0.25">
      <c r="B1585" s="1"/>
    </row>
    <row r="1586" spans="2:2" x14ac:dyDescent="0.25">
      <c r="B1586" s="1"/>
    </row>
    <row r="1587" spans="2:2" x14ac:dyDescent="0.25">
      <c r="B1587" s="1"/>
    </row>
    <row r="1588" spans="2:2" x14ac:dyDescent="0.25">
      <c r="B1588" s="1"/>
    </row>
    <row r="1589" spans="2:2" x14ac:dyDescent="0.25">
      <c r="B1589" s="1"/>
    </row>
    <row r="1590" spans="2:2" x14ac:dyDescent="0.25">
      <c r="B1590" s="1"/>
    </row>
    <row r="1591" spans="2:2" x14ac:dyDescent="0.25">
      <c r="B1591" s="1"/>
    </row>
    <row r="1592" spans="2:2" x14ac:dyDescent="0.25">
      <c r="B1592" s="1"/>
    </row>
    <row r="1593" spans="2:2" x14ac:dyDescent="0.25">
      <c r="B1593" s="1"/>
    </row>
    <row r="1594" spans="2:2" x14ac:dyDescent="0.25">
      <c r="B1594" s="1"/>
    </row>
    <row r="1595" spans="2:2" x14ac:dyDescent="0.25">
      <c r="B1595" s="1"/>
    </row>
    <row r="1596" spans="2:2" x14ac:dyDescent="0.25">
      <c r="B1596" s="1"/>
    </row>
    <row r="1597" spans="2:2" x14ac:dyDescent="0.25">
      <c r="B1597" s="1"/>
    </row>
    <row r="1598" spans="2:2" x14ac:dyDescent="0.25">
      <c r="B1598" s="1"/>
    </row>
    <row r="1599" spans="2:2" x14ac:dyDescent="0.25">
      <c r="B1599" s="1"/>
    </row>
    <row r="1600" spans="2:2" x14ac:dyDescent="0.25">
      <c r="B1600" s="1"/>
    </row>
    <row r="1601" spans="2:2" x14ac:dyDescent="0.25">
      <c r="B1601" s="1"/>
    </row>
    <row r="1602" spans="2:2" x14ac:dyDescent="0.25">
      <c r="B1602" s="1"/>
    </row>
    <row r="1603" spans="2:2" x14ac:dyDescent="0.25">
      <c r="B1603" s="1"/>
    </row>
    <row r="1604" spans="2:2" x14ac:dyDescent="0.25">
      <c r="B1604" s="1"/>
    </row>
    <row r="1605" spans="2:2" x14ac:dyDescent="0.25">
      <c r="B1605" s="1"/>
    </row>
    <row r="1606" spans="2:2" x14ac:dyDescent="0.25">
      <c r="B1606" s="1"/>
    </row>
    <row r="1607" spans="2:2" x14ac:dyDescent="0.25">
      <c r="B1607" s="1"/>
    </row>
    <row r="1608" spans="2:2" x14ac:dyDescent="0.25">
      <c r="B1608" s="1"/>
    </row>
    <row r="1609" spans="2:2" x14ac:dyDescent="0.25">
      <c r="B1609" s="1"/>
    </row>
    <row r="1610" spans="2:2" x14ac:dyDescent="0.25">
      <c r="B1610" s="1"/>
    </row>
    <row r="1611" spans="2:2" x14ac:dyDescent="0.25">
      <c r="B1611" s="1"/>
    </row>
    <row r="1612" spans="2:2" x14ac:dyDescent="0.25">
      <c r="B1612" s="1"/>
    </row>
    <row r="1613" spans="2:2" x14ac:dyDescent="0.25">
      <c r="B1613" s="1"/>
    </row>
    <row r="1614" spans="2:2" x14ac:dyDescent="0.25">
      <c r="B1614" s="1"/>
    </row>
    <row r="1615" spans="2:2" x14ac:dyDescent="0.25">
      <c r="B1615" s="1"/>
    </row>
    <row r="1616" spans="2:2" x14ac:dyDescent="0.25">
      <c r="B1616" s="1"/>
    </row>
    <row r="1617" spans="2:2" x14ac:dyDescent="0.25">
      <c r="B1617" s="1"/>
    </row>
    <row r="1618" spans="2:2" x14ac:dyDescent="0.25">
      <c r="B1618" s="1"/>
    </row>
    <row r="1619" spans="2:2" x14ac:dyDescent="0.25">
      <c r="B1619" s="1"/>
    </row>
    <row r="1620" spans="2:2" x14ac:dyDescent="0.25">
      <c r="B1620" s="1"/>
    </row>
    <row r="1621" spans="2:2" x14ac:dyDescent="0.25">
      <c r="B1621" s="1"/>
    </row>
    <row r="1622" spans="2:2" x14ac:dyDescent="0.25">
      <c r="B1622" s="1"/>
    </row>
    <row r="1623" spans="2:2" x14ac:dyDescent="0.25">
      <c r="B1623" s="1"/>
    </row>
    <row r="1624" spans="2:2" x14ac:dyDescent="0.25">
      <c r="B1624" s="1"/>
    </row>
    <row r="1625" spans="2:2" x14ac:dyDescent="0.25">
      <c r="B1625" s="1"/>
    </row>
    <row r="1626" spans="2:2" x14ac:dyDescent="0.25">
      <c r="B1626" s="1"/>
    </row>
    <row r="1627" spans="2:2" x14ac:dyDescent="0.25">
      <c r="B1627" s="1"/>
    </row>
    <row r="1628" spans="2:2" x14ac:dyDescent="0.25">
      <c r="B1628" s="1"/>
    </row>
    <row r="1629" spans="2:2" x14ac:dyDescent="0.25">
      <c r="B1629" s="1"/>
    </row>
    <row r="1630" spans="2:2" x14ac:dyDescent="0.25">
      <c r="B1630" s="1"/>
    </row>
    <row r="1631" spans="2:2" x14ac:dyDescent="0.25">
      <c r="B1631" s="1"/>
    </row>
    <row r="1632" spans="2:2" x14ac:dyDescent="0.25">
      <c r="B1632" s="1"/>
    </row>
    <row r="1633" spans="2:2" x14ac:dyDescent="0.25">
      <c r="B1633" s="1"/>
    </row>
    <row r="1634" spans="2:2" x14ac:dyDescent="0.25">
      <c r="B1634" s="1"/>
    </row>
    <row r="1635" spans="2:2" x14ac:dyDescent="0.25">
      <c r="B1635" s="1"/>
    </row>
    <row r="1636" spans="2:2" x14ac:dyDescent="0.25">
      <c r="B1636" s="1"/>
    </row>
    <row r="1637" spans="2:2" x14ac:dyDescent="0.25">
      <c r="B1637" s="1"/>
    </row>
    <row r="1638" spans="2:2" x14ac:dyDescent="0.25">
      <c r="B1638" s="1"/>
    </row>
    <row r="1639" spans="2:2" x14ac:dyDescent="0.25">
      <c r="B1639" s="1"/>
    </row>
    <row r="1640" spans="2:2" x14ac:dyDescent="0.25">
      <c r="B1640" s="1"/>
    </row>
    <row r="1641" spans="2:2" x14ac:dyDescent="0.25">
      <c r="B1641" s="1"/>
    </row>
    <row r="1642" spans="2:2" x14ac:dyDescent="0.25">
      <c r="B1642" s="1"/>
    </row>
    <row r="1643" spans="2:2" x14ac:dyDescent="0.25">
      <c r="B1643" s="1"/>
    </row>
    <row r="1644" spans="2:2" x14ac:dyDescent="0.25">
      <c r="B1644" s="1"/>
    </row>
    <row r="1645" spans="2:2" x14ac:dyDescent="0.25">
      <c r="B1645" s="1"/>
    </row>
    <row r="1646" spans="2:2" x14ac:dyDescent="0.25">
      <c r="B1646" s="1"/>
    </row>
    <row r="1647" spans="2:2" x14ac:dyDescent="0.25">
      <c r="B1647" s="1"/>
    </row>
    <row r="1648" spans="2:2" x14ac:dyDescent="0.25">
      <c r="B1648" s="1"/>
    </row>
    <row r="1649" spans="2:2" x14ac:dyDescent="0.25">
      <c r="B1649" s="1"/>
    </row>
    <row r="1650" spans="2:2" x14ac:dyDescent="0.25">
      <c r="B1650" s="1"/>
    </row>
    <row r="1651" spans="2:2" x14ac:dyDescent="0.25">
      <c r="B1651" s="1"/>
    </row>
    <row r="1652" spans="2:2" x14ac:dyDescent="0.25">
      <c r="B1652" s="1"/>
    </row>
    <row r="1653" spans="2:2" x14ac:dyDescent="0.25">
      <c r="B1653" s="1"/>
    </row>
    <row r="1654" spans="2:2" x14ac:dyDescent="0.25">
      <c r="B1654" s="1"/>
    </row>
    <row r="1655" spans="2:2" x14ac:dyDescent="0.25">
      <c r="B1655" s="1"/>
    </row>
    <row r="1656" spans="2:2" x14ac:dyDescent="0.25">
      <c r="B1656" s="1"/>
    </row>
    <row r="1657" spans="2:2" x14ac:dyDescent="0.25">
      <c r="B1657" s="1"/>
    </row>
    <row r="1658" spans="2:2" x14ac:dyDescent="0.25">
      <c r="B1658" s="1"/>
    </row>
    <row r="1659" spans="2:2" x14ac:dyDescent="0.25">
      <c r="B1659" s="1"/>
    </row>
    <row r="1660" spans="2:2" x14ac:dyDescent="0.25">
      <c r="B1660" s="1"/>
    </row>
    <row r="1661" spans="2:2" x14ac:dyDescent="0.25">
      <c r="B1661" s="1"/>
    </row>
    <row r="1662" spans="2:2" x14ac:dyDescent="0.25">
      <c r="B1662" s="1"/>
    </row>
    <row r="1663" spans="2:2" x14ac:dyDescent="0.25">
      <c r="B1663" s="1"/>
    </row>
    <row r="1664" spans="2:2" x14ac:dyDescent="0.25">
      <c r="B1664" s="1"/>
    </row>
    <row r="1665" spans="2:2" x14ac:dyDescent="0.25">
      <c r="B1665" s="1"/>
    </row>
    <row r="1666" spans="2:2" x14ac:dyDescent="0.25">
      <c r="B1666" s="1"/>
    </row>
    <row r="1667" spans="2:2" x14ac:dyDescent="0.25">
      <c r="B1667" s="1"/>
    </row>
    <row r="1668" spans="2:2" x14ac:dyDescent="0.25">
      <c r="B1668" s="1"/>
    </row>
    <row r="1669" spans="2:2" x14ac:dyDescent="0.25">
      <c r="B1669" s="1"/>
    </row>
    <row r="1670" spans="2:2" x14ac:dyDescent="0.25">
      <c r="B1670" s="1"/>
    </row>
    <row r="1671" spans="2:2" x14ac:dyDescent="0.25">
      <c r="B1671" s="1"/>
    </row>
    <row r="1672" spans="2:2" x14ac:dyDescent="0.25">
      <c r="B1672" s="1"/>
    </row>
    <row r="1673" spans="2:2" x14ac:dyDescent="0.25">
      <c r="B1673" s="1"/>
    </row>
    <row r="1674" spans="2:2" x14ac:dyDescent="0.25">
      <c r="B1674" s="1"/>
    </row>
    <row r="1675" spans="2:2" x14ac:dyDescent="0.25">
      <c r="B1675" s="1"/>
    </row>
    <row r="1676" spans="2:2" x14ac:dyDescent="0.25">
      <c r="B1676" s="1"/>
    </row>
    <row r="1677" spans="2:2" x14ac:dyDescent="0.25">
      <c r="B1677" s="1"/>
    </row>
    <row r="1678" spans="2:2" x14ac:dyDescent="0.25">
      <c r="B1678" s="1"/>
    </row>
    <row r="1679" spans="2:2" x14ac:dyDescent="0.25">
      <c r="B1679" s="1"/>
    </row>
    <row r="1680" spans="2:2" x14ac:dyDescent="0.25">
      <c r="B1680" s="1"/>
    </row>
    <row r="1681" spans="2:2" x14ac:dyDescent="0.25">
      <c r="B1681" s="1"/>
    </row>
    <row r="1682" spans="2:2" x14ac:dyDescent="0.25">
      <c r="B1682" s="1"/>
    </row>
    <row r="1683" spans="2:2" x14ac:dyDescent="0.25">
      <c r="B1683" s="1"/>
    </row>
    <row r="1684" spans="2:2" x14ac:dyDescent="0.25">
      <c r="B1684" s="1"/>
    </row>
    <row r="1685" spans="2:2" x14ac:dyDescent="0.25">
      <c r="B1685" s="1"/>
    </row>
    <row r="1686" spans="2:2" x14ac:dyDescent="0.25">
      <c r="B1686" s="1"/>
    </row>
    <row r="1687" spans="2:2" x14ac:dyDescent="0.25">
      <c r="B1687" s="1"/>
    </row>
    <row r="1688" spans="2:2" x14ac:dyDescent="0.25">
      <c r="B1688" s="1"/>
    </row>
    <row r="1689" spans="2:2" x14ac:dyDescent="0.25">
      <c r="B1689" s="1"/>
    </row>
    <row r="1690" spans="2:2" x14ac:dyDescent="0.25">
      <c r="B1690" s="1"/>
    </row>
    <row r="1691" spans="2:2" x14ac:dyDescent="0.25">
      <c r="B1691" s="1"/>
    </row>
    <row r="1692" spans="2:2" x14ac:dyDescent="0.25">
      <c r="B1692" s="1"/>
    </row>
    <row r="1693" spans="2:2" x14ac:dyDescent="0.25">
      <c r="B1693" s="1"/>
    </row>
    <row r="1694" spans="2:2" x14ac:dyDescent="0.25">
      <c r="B1694" s="1"/>
    </row>
    <row r="1695" spans="2:2" x14ac:dyDescent="0.25">
      <c r="B1695" s="1"/>
    </row>
    <row r="1696" spans="2:2" x14ac:dyDescent="0.25">
      <c r="B1696" s="1"/>
    </row>
    <row r="1697" spans="2:2" x14ac:dyDescent="0.25">
      <c r="B1697" s="1"/>
    </row>
    <row r="1698" spans="2:2" x14ac:dyDescent="0.25">
      <c r="B1698" s="1"/>
    </row>
    <row r="1699" spans="2:2" x14ac:dyDescent="0.25">
      <c r="B1699" s="1"/>
    </row>
    <row r="1700" spans="2:2" x14ac:dyDescent="0.25">
      <c r="B1700" s="1"/>
    </row>
    <row r="1701" spans="2:2" x14ac:dyDescent="0.25">
      <c r="B1701" s="1"/>
    </row>
    <row r="1702" spans="2:2" x14ac:dyDescent="0.25">
      <c r="B1702" s="1"/>
    </row>
    <row r="1703" spans="2:2" x14ac:dyDescent="0.25">
      <c r="B1703" s="1"/>
    </row>
    <row r="1704" spans="2:2" x14ac:dyDescent="0.25">
      <c r="B1704" s="1"/>
    </row>
    <row r="1705" spans="2:2" x14ac:dyDescent="0.25">
      <c r="B1705" s="1"/>
    </row>
    <row r="1706" spans="2:2" x14ac:dyDescent="0.25">
      <c r="B1706" s="1"/>
    </row>
    <row r="1707" spans="2:2" x14ac:dyDescent="0.25">
      <c r="B1707" s="1"/>
    </row>
    <row r="1708" spans="2:2" x14ac:dyDescent="0.25">
      <c r="B1708" s="1"/>
    </row>
    <row r="1709" spans="2:2" x14ac:dyDescent="0.25">
      <c r="B1709" s="1"/>
    </row>
    <row r="1710" spans="2:2" x14ac:dyDescent="0.25">
      <c r="B1710" s="1"/>
    </row>
    <row r="1711" spans="2:2" x14ac:dyDescent="0.25">
      <c r="B1711" s="1"/>
    </row>
    <row r="1712" spans="2:2" x14ac:dyDescent="0.25">
      <c r="B1712" s="1"/>
    </row>
    <row r="1713" spans="2:2" x14ac:dyDescent="0.25">
      <c r="B1713" s="1"/>
    </row>
    <row r="1714" spans="2:2" x14ac:dyDescent="0.25">
      <c r="B1714" s="1"/>
    </row>
    <row r="1715" spans="2:2" x14ac:dyDescent="0.25">
      <c r="B1715" s="1"/>
    </row>
    <row r="1716" spans="2:2" x14ac:dyDescent="0.25">
      <c r="B1716" s="1"/>
    </row>
    <row r="1717" spans="2:2" x14ac:dyDescent="0.25">
      <c r="B1717" s="1"/>
    </row>
    <row r="1718" spans="2:2" x14ac:dyDescent="0.25">
      <c r="B1718" s="1"/>
    </row>
    <row r="1719" spans="2:2" x14ac:dyDescent="0.25">
      <c r="B1719" s="1"/>
    </row>
    <row r="1720" spans="2:2" x14ac:dyDescent="0.25">
      <c r="B1720" s="1"/>
    </row>
    <row r="1721" spans="2:2" x14ac:dyDescent="0.25">
      <c r="B1721" s="1"/>
    </row>
    <row r="1722" spans="2:2" x14ac:dyDescent="0.25">
      <c r="B1722" s="1"/>
    </row>
    <row r="1723" spans="2:2" x14ac:dyDescent="0.25">
      <c r="B1723" s="1"/>
    </row>
    <row r="1724" spans="2:2" x14ac:dyDescent="0.25">
      <c r="B1724" s="1"/>
    </row>
    <row r="1725" spans="2:2" x14ac:dyDescent="0.25">
      <c r="B1725" s="1"/>
    </row>
    <row r="1726" spans="2:2" x14ac:dyDescent="0.25">
      <c r="B1726" s="1"/>
    </row>
    <row r="1727" spans="2:2" x14ac:dyDescent="0.25">
      <c r="B1727" s="1"/>
    </row>
    <row r="1728" spans="2:2" x14ac:dyDescent="0.25">
      <c r="B1728" s="1"/>
    </row>
    <row r="1729" spans="2:2" x14ac:dyDescent="0.25">
      <c r="B1729" s="1"/>
    </row>
    <row r="1730" spans="2:2" x14ac:dyDescent="0.25">
      <c r="B1730" s="1"/>
    </row>
    <row r="1731" spans="2:2" x14ac:dyDescent="0.25">
      <c r="B1731" s="1"/>
    </row>
    <row r="1732" spans="2:2" x14ac:dyDescent="0.25">
      <c r="B1732" s="1"/>
    </row>
    <row r="1733" spans="2:2" x14ac:dyDescent="0.25">
      <c r="B1733" s="1"/>
    </row>
    <row r="1734" spans="2:2" x14ac:dyDescent="0.25">
      <c r="B1734" s="1"/>
    </row>
    <row r="1735" spans="2:2" x14ac:dyDescent="0.25">
      <c r="B1735" s="1"/>
    </row>
    <row r="1736" spans="2:2" x14ac:dyDescent="0.25">
      <c r="B1736" s="1"/>
    </row>
    <row r="1737" spans="2:2" x14ac:dyDescent="0.25">
      <c r="B1737" s="1"/>
    </row>
    <row r="1738" spans="2:2" x14ac:dyDescent="0.25">
      <c r="B1738" s="1"/>
    </row>
    <row r="1739" spans="2:2" x14ac:dyDescent="0.25">
      <c r="B1739" s="1"/>
    </row>
    <row r="1740" spans="2:2" x14ac:dyDescent="0.25">
      <c r="B1740" s="1"/>
    </row>
    <row r="1741" spans="2:2" x14ac:dyDescent="0.25">
      <c r="B1741" s="1"/>
    </row>
    <row r="1742" spans="2:2" x14ac:dyDescent="0.25">
      <c r="B1742" s="1"/>
    </row>
    <row r="1743" spans="2:2" x14ac:dyDescent="0.25">
      <c r="B1743" s="1"/>
    </row>
    <row r="1744" spans="2:2" x14ac:dyDescent="0.25">
      <c r="B1744" s="1"/>
    </row>
    <row r="1745" spans="2:2" x14ac:dyDescent="0.25">
      <c r="B1745" s="1"/>
    </row>
    <row r="1746" spans="2:2" x14ac:dyDescent="0.25">
      <c r="B1746" s="1"/>
    </row>
    <row r="1747" spans="2:2" x14ac:dyDescent="0.25">
      <c r="B1747" s="1"/>
    </row>
    <row r="1748" spans="2:2" x14ac:dyDescent="0.25">
      <c r="B1748" s="1"/>
    </row>
    <row r="1749" spans="2:2" x14ac:dyDescent="0.25">
      <c r="B1749" s="1"/>
    </row>
    <row r="1750" spans="2:2" x14ac:dyDescent="0.25">
      <c r="B1750" s="1"/>
    </row>
    <row r="1751" spans="2:2" x14ac:dyDescent="0.25">
      <c r="B1751" s="1"/>
    </row>
    <row r="1752" spans="2:2" x14ac:dyDescent="0.25">
      <c r="B1752" s="1"/>
    </row>
    <row r="1753" spans="2:2" x14ac:dyDescent="0.25">
      <c r="B1753" s="1"/>
    </row>
    <row r="1754" spans="2:2" x14ac:dyDescent="0.25">
      <c r="B1754" s="1"/>
    </row>
    <row r="1755" spans="2:2" x14ac:dyDescent="0.25">
      <c r="B1755" s="1"/>
    </row>
    <row r="1756" spans="2:2" x14ac:dyDescent="0.25">
      <c r="B1756" s="1"/>
    </row>
    <row r="1757" spans="2:2" x14ac:dyDescent="0.25">
      <c r="B1757" s="1"/>
    </row>
    <row r="1758" spans="2:2" x14ac:dyDescent="0.25">
      <c r="B1758" s="1"/>
    </row>
    <row r="1759" spans="2:2" x14ac:dyDescent="0.25">
      <c r="B1759" s="1"/>
    </row>
    <row r="1760" spans="2:2" x14ac:dyDescent="0.25">
      <c r="B1760" s="1"/>
    </row>
    <row r="1761" spans="2:2" x14ac:dyDescent="0.25">
      <c r="B1761" s="1"/>
    </row>
    <row r="1762" spans="2:2" x14ac:dyDescent="0.25">
      <c r="B1762" s="1"/>
    </row>
    <row r="1763" spans="2:2" x14ac:dyDescent="0.25">
      <c r="B1763" s="1"/>
    </row>
    <row r="1764" spans="2:2" x14ac:dyDescent="0.25">
      <c r="B1764" s="1"/>
    </row>
    <row r="1765" spans="2:2" x14ac:dyDescent="0.25">
      <c r="B1765" s="1"/>
    </row>
    <row r="1766" spans="2:2" x14ac:dyDescent="0.25">
      <c r="B1766" s="1"/>
    </row>
    <row r="1767" spans="2:2" x14ac:dyDescent="0.25">
      <c r="B1767" s="1"/>
    </row>
    <row r="1768" spans="2:2" x14ac:dyDescent="0.25">
      <c r="B1768" s="1"/>
    </row>
    <row r="1769" spans="2:2" x14ac:dyDescent="0.25">
      <c r="B1769" s="1"/>
    </row>
    <row r="1770" spans="2:2" x14ac:dyDescent="0.25">
      <c r="B1770" s="1"/>
    </row>
    <row r="1771" spans="2:2" x14ac:dyDescent="0.25">
      <c r="B1771" s="1"/>
    </row>
    <row r="1772" spans="2:2" x14ac:dyDescent="0.25">
      <c r="B1772" s="1"/>
    </row>
    <row r="1773" spans="2:2" x14ac:dyDescent="0.25">
      <c r="B1773" s="1"/>
    </row>
    <row r="1774" spans="2:2" x14ac:dyDescent="0.25">
      <c r="B1774" s="1"/>
    </row>
    <row r="1775" spans="2:2" x14ac:dyDescent="0.25">
      <c r="B1775" s="1"/>
    </row>
    <row r="1776" spans="2:2" x14ac:dyDescent="0.25">
      <c r="B1776" s="1"/>
    </row>
    <row r="1777" spans="2:2" x14ac:dyDescent="0.25">
      <c r="B1777" s="1"/>
    </row>
    <row r="1778" spans="2:2" x14ac:dyDescent="0.25">
      <c r="B1778" s="1"/>
    </row>
    <row r="1779" spans="2:2" x14ac:dyDescent="0.25">
      <c r="B1779" s="1"/>
    </row>
    <row r="1780" spans="2:2" x14ac:dyDescent="0.25">
      <c r="B1780" s="1"/>
    </row>
    <row r="1781" spans="2:2" x14ac:dyDescent="0.25">
      <c r="B1781" s="1"/>
    </row>
    <row r="1782" spans="2:2" x14ac:dyDescent="0.25">
      <c r="B1782" s="1"/>
    </row>
    <row r="1783" spans="2:2" x14ac:dyDescent="0.25">
      <c r="B1783" s="1"/>
    </row>
    <row r="1784" spans="2:2" x14ac:dyDescent="0.25">
      <c r="B1784" s="1"/>
    </row>
    <row r="1785" spans="2:2" x14ac:dyDescent="0.25">
      <c r="B1785" s="1"/>
    </row>
    <row r="1786" spans="2:2" x14ac:dyDescent="0.25">
      <c r="B1786" s="1"/>
    </row>
    <row r="1787" spans="2:2" x14ac:dyDescent="0.25">
      <c r="B1787" s="1"/>
    </row>
    <row r="1788" spans="2:2" x14ac:dyDescent="0.25">
      <c r="B1788" s="1"/>
    </row>
    <row r="1789" spans="2:2" x14ac:dyDescent="0.25">
      <c r="B1789" s="1"/>
    </row>
    <row r="1790" spans="2:2" x14ac:dyDescent="0.25">
      <c r="B1790" s="1"/>
    </row>
    <row r="1791" spans="2:2" x14ac:dyDescent="0.25">
      <c r="B1791" s="1"/>
    </row>
    <row r="1792" spans="2:2" x14ac:dyDescent="0.25">
      <c r="B1792" s="1"/>
    </row>
    <row r="1793" spans="2:2" x14ac:dyDescent="0.25">
      <c r="B1793" s="1"/>
    </row>
    <row r="1794" spans="2:2" x14ac:dyDescent="0.25">
      <c r="B1794" s="1"/>
    </row>
    <row r="1795" spans="2:2" x14ac:dyDescent="0.25">
      <c r="B1795" s="1"/>
    </row>
    <row r="1796" spans="2:2" x14ac:dyDescent="0.25">
      <c r="B1796" s="1"/>
    </row>
    <row r="1797" spans="2:2" x14ac:dyDescent="0.25">
      <c r="B1797" s="1"/>
    </row>
    <row r="1798" spans="2:2" x14ac:dyDescent="0.25">
      <c r="B1798" s="1"/>
    </row>
    <row r="1799" spans="2:2" x14ac:dyDescent="0.25">
      <c r="B1799" s="1"/>
    </row>
    <row r="1800" spans="2:2" x14ac:dyDescent="0.25">
      <c r="B1800" s="1"/>
    </row>
    <row r="1801" spans="2:2" x14ac:dyDescent="0.25">
      <c r="B1801" s="1"/>
    </row>
    <row r="1802" spans="2:2" x14ac:dyDescent="0.25">
      <c r="B1802" s="1"/>
    </row>
    <row r="1803" spans="2:2" x14ac:dyDescent="0.25">
      <c r="B1803" s="1"/>
    </row>
    <row r="1804" spans="2:2" x14ac:dyDescent="0.25">
      <c r="B1804" s="1"/>
    </row>
    <row r="1805" spans="2:2" x14ac:dyDescent="0.25">
      <c r="B1805" s="1"/>
    </row>
    <row r="1806" spans="2:2" x14ac:dyDescent="0.25">
      <c r="B1806" s="1"/>
    </row>
    <row r="1807" spans="2:2" x14ac:dyDescent="0.25">
      <c r="B1807" s="1"/>
    </row>
    <row r="1808" spans="2:2" x14ac:dyDescent="0.25">
      <c r="B1808" s="1"/>
    </row>
    <row r="1809" spans="2:2" x14ac:dyDescent="0.25">
      <c r="B1809" s="1"/>
    </row>
    <row r="1810" spans="2:2" x14ac:dyDescent="0.25">
      <c r="B1810" s="1"/>
    </row>
    <row r="1811" spans="2:2" x14ac:dyDescent="0.25">
      <c r="B1811" s="1"/>
    </row>
    <row r="1812" spans="2:2" x14ac:dyDescent="0.25">
      <c r="B1812" s="1"/>
    </row>
    <row r="1813" spans="2:2" x14ac:dyDescent="0.25">
      <c r="B1813" s="1"/>
    </row>
    <row r="1814" spans="2:2" x14ac:dyDescent="0.25">
      <c r="B1814" s="1"/>
    </row>
    <row r="1815" spans="2:2" x14ac:dyDescent="0.25">
      <c r="B1815" s="1"/>
    </row>
    <row r="1816" spans="2:2" x14ac:dyDescent="0.25">
      <c r="B1816" s="1"/>
    </row>
    <row r="1817" spans="2:2" x14ac:dyDescent="0.25">
      <c r="B1817" s="1"/>
    </row>
    <row r="1818" spans="2:2" x14ac:dyDescent="0.25">
      <c r="B1818" s="1"/>
    </row>
    <row r="1819" spans="2:2" x14ac:dyDescent="0.25">
      <c r="B1819" s="1"/>
    </row>
    <row r="1820" spans="2:2" x14ac:dyDescent="0.25">
      <c r="B1820" s="1"/>
    </row>
    <row r="1821" spans="2:2" x14ac:dyDescent="0.25">
      <c r="B1821" s="1"/>
    </row>
    <row r="1822" spans="2:2" x14ac:dyDescent="0.25">
      <c r="B1822" s="1"/>
    </row>
    <row r="1823" spans="2:2" x14ac:dyDescent="0.25">
      <c r="B1823" s="1"/>
    </row>
    <row r="1824" spans="2:2" x14ac:dyDescent="0.25">
      <c r="B1824" s="1"/>
    </row>
    <row r="1825" spans="2:2" x14ac:dyDescent="0.25">
      <c r="B1825" s="1"/>
    </row>
    <row r="1826" spans="2:2" x14ac:dyDescent="0.25">
      <c r="B1826" s="1"/>
    </row>
    <row r="1827" spans="2:2" x14ac:dyDescent="0.25">
      <c r="B1827" s="1"/>
    </row>
    <row r="1828" spans="2:2" x14ac:dyDescent="0.25">
      <c r="B1828" s="1"/>
    </row>
    <row r="1829" spans="2:2" x14ac:dyDescent="0.25">
      <c r="B1829" s="1"/>
    </row>
    <row r="1830" spans="2:2" x14ac:dyDescent="0.25">
      <c r="B1830" s="1"/>
    </row>
    <row r="1831" spans="2:2" x14ac:dyDescent="0.25">
      <c r="B1831" s="1"/>
    </row>
    <row r="1832" spans="2:2" x14ac:dyDescent="0.25">
      <c r="B1832" s="1"/>
    </row>
    <row r="1833" spans="2:2" x14ac:dyDescent="0.25">
      <c r="B1833" s="1"/>
    </row>
    <row r="1834" spans="2:2" x14ac:dyDescent="0.25">
      <c r="B1834" s="1"/>
    </row>
    <row r="1835" spans="2:2" x14ac:dyDescent="0.25">
      <c r="B1835" s="1"/>
    </row>
    <row r="1836" spans="2:2" x14ac:dyDescent="0.25">
      <c r="B1836" s="1"/>
    </row>
    <row r="1837" spans="2:2" x14ac:dyDescent="0.25">
      <c r="B1837" s="1"/>
    </row>
    <row r="1838" spans="2:2" x14ac:dyDescent="0.25">
      <c r="B1838" s="1"/>
    </row>
    <row r="1839" spans="2:2" x14ac:dyDescent="0.25">
      <c r="B1839" s="1"/>
    </row>
    <row r="1840" spans="2:2" x14ac:dyDescent="0.25">
      <c r="B1840" s="1"/>
    </row>
    <row r="1841" spans="2:2" x14ac:dyDescent="0.25">
      <c r="B1841" s="1"/>
    </row>
    <row r="1842" spans="2:2" x14ac:dyDescent="0.25">
      <c r="B1842" s="1"/>
    </row>
    <row r="1843" spans="2:2" x14ac:dyDescent="0.25">
      <c r="B1843" s="1"/>
    </row>
    <row r="1844" spans="2:2" x14ac:dyDescent="0.25">
      <c r="B1844" s="1"/>
    </row>
    <row r="1845" spans="2:2" x14ac:dyDescent="0.25">
      <c r="B1845" s="1"/>
    </row>
    <row r="1846" spans="2:2" x14ac:dyDescent="0.25">
      <c r="B1846" s="1"/>
    </row>
    <row r="1847" spans="2:2" x14ac:dyDescent="0.25">
      <c r="B1847" s="1"/>
    </row>
    <row r="1848" spans="2:2" x14ac:dyDescent="0.25">
      <c r="B1848" s="1"/>
    </row>
    <row r="1849" spans="2:2" x14ac:dyDescent="0.25">
      <c r="B1849" s="1"/>
    </row>
    <row r="1850" spans="2:2" x14ac:dyDescent="0.25">
      <c r="B1850" s="1"/>
    </row>
    <row r="1851" spans="2:2" x14ac:dyDescent="0.25">
      <c r="B1851" s="1"/>
    </row>
    <row r="1852" spans="2:2" x14ac:dyDescent="0.25">
      <c r="B1852" s="1"/>
    </row>
    <row r="1853" spans="2:2" x14ac:dyDescent="0.25">
      <c r="B1853" s="1"/>
    </row>
    <row r="1854" spans="2:2" x14ac:dyDescent="0.25">
      <c r="B1854" s="1"/>
    </row>
    <row r="1855" spans="2:2" x14ac:dyDescent="0.25">
      <c r="B1855" s="1"/>
    </row>
    <row r="1856" spans="2:2" x14ac:dyDescent="0.25">
      <c r="B1856" s="1"/>
    </row>
    <row r="1857" spans="2:2" x14ac:dyDescent="0.25">
      <c r="B1857" s="1"/>
    </row>
    <row r="1858" spans="2:2" x14ac:dyDescent="0.25">
      <c r="B1858" s="1"/>
    </row>
    <row r="1859" spans="2:2" x14ac:dyDescent="0.25">
      <c r="B1859" s="1"/>
    </row>
    <row r="1860" spans="2:2" x14ac:dyDescent="0.25">
      <c r="B1860" s="1"/>
    </row>
    <row r="1861" spans="2:2" x14ac:dyDescent="0.25">
      <c r="B1861" s="1"/>
    </row>
    <row r="1862" spans="2:2" x14ac:dyDescent="0.25">
      <c r="B1862" s="1"/>
    </row>
    <row r="1863" spans="2:2" x14ac:dyDescent="0.25">
      <c r="B1863" s="1"/>
    </row>
    <row r="1864" spans="2:2" x14ac:dyDescent="0.25">
      <c r="B1864" s="1"/>
    </row>
    <row r="1865" spans="2:2" x14ac:dyDescent="0.25">
      <c r="B1865" s="1"/>
    </row>
    <row r="1866" spans="2:2" x14ac:dyDescent="0.25">
      <c r="B1866" s="1"/>
    </row>
    <row r="1867" spans="2:2" x14ac:dyDescent="0.25">
      <c r="B1867" s="1"/>
    </row>
    <row r="1868" spans="2:2" x14ac:dyDescent="0.25">
      <c r="B1868" s="1"/>
    </row>
    <row r="1869" spans="2:2" x14ac:dyDescent="0.25">
      <c r="B1869" s="1"/>
    </row>
    <row r="1870" spans="2:2" x14ac:dyDescent="0.25">
      <c r="B1870" s="1"/>
    </row>
    <row r="1871" spans="2:2" x14ac:dyDescent="0.25">
      <c r="B1871" s="1"/>
    </row>
    <row r="1872" spans="2:2" x14ac:dyDescent="0.25">
      <c r="B1872" s="1"/>
    </row>
    <row r="1873" spans="2:2" x14ac:dyDescent="0.25">
      <c r="B1873" s="1"/>
    </row>
    <row r="1874" spans="2:2" x14ac:dyDescent="0.25">
      <c r="B1874" s="1"/>
    </row>
    <row r="1875" spans="2:2" x14ac:dyDescent="0.25">
      <c r="B1875" s="1"/>
    </row>
    <row r="1876" spans="2:2" x14ac:dyDescent="0.25">
      <c r="B1876" s="1"/>
    </row>
    <row r="1877" spans="2:2" x14ac:dyDescent="0.25">
      <c r="B1877" s="1"/>
    </row>
    <row r="1878" spans="2:2" x14ac:dyDescent="0.25">
      <c r="B1878" s="1"/>
    </row>
    <row r="1879" spans="2:2" x14ac:dyDescent="0.25">
      <c r="B1879" s="1"/>
    </row>
    <row r="1880" spans="2:2" x14ac:dyDescent="0.25">
      <c r="B1880" s="1"/>
    </row>
    <row r="1881" spans="2:2" x14ac:dyDescent="0.25">
      <c r="B1881" s="1"/>
    </row>
    <row r="1882" spans="2:2" x14ac:dyDescent="0.25">
      <c r="B1882" s="1"/>
    </row>
    <row r="1883" spans="2:2" x14ac:dyDescent="0.25">
      <c r="B1883" s="1"/>
    </row>
    <row r="1884" spans="2:2" x14ac:dyDescent="0.25">
      <c r="B1884" s="1"/>
    </row>
    <row r="1885" spans="2:2" x14ac:dyDescent="0.25">
      <c r="B1885" s="1"/>
    </row>
    <row r="1886" spans="2:2" x14ac:dyDescent="0.25">
      <c r="B1886" s="1"/>
    </row>
    <row r="1887" spans="2:2" x14ac:dyDescent="0.25">
      <c r="B1887" s="1"/>
    </row>
    <row r="1888" spans="2:2" x14ac:dyDescent="0.25">
      <c r="B1888" s="1"/>
    </row>
    <row r="1889" spans="2:2" x14ac:dyDescent="0.25">
      <c r="B1889" s="1"/>
    </row>
    <row r="1890" spans="2:2" x14ac:dyDescent="0.25">
      <c r="B1890" s="1"/>
    </row>
    <row r="1891" spans="2:2" x14ac:dyDescent="0.25">
      <c r="B1891" s="1"/>
    </row>
    <row r="1892" spans="2:2" x14ac:dyDescent="0.25">
      <c r="B1892" s="1"/>
    </row>
    <row r="1893" spans="2:2" x14ac:dyDescent="0.25">
      <c r="B1893" s="1"/>
    </row>
    <row r="1894" spans="2:2" x14ac:dyDescent="0.25">
      <c r="B1894" s="1"/>
    </row>
    <row r="1895" spans="2:2" x14ac:dyDescent="0.25">
      <c r="B1895" s="1"/>
    </row>
    <row r="1896" spans="2:2" x14ac:dyDescent="0.25">
      <c r="B1896" s="1"/>
    </row>
    <row r="1897" spans="2:2" x14ac:dyDescent="0.25">
      <c r="B1897" s="1"/>
    </row>
    <row r="1898" spans="2:2" x14ac:dyDescent="0.25">
      <c r="B1898" s="1"/>
    </row>
    <row r="1899" spans="2:2" x14ac:dyDescent="0.25">
      <c r="B1899" s="1"/>
    </row>
    <row r="1900" spans="2:2" x14ac:dyDescent="0.25">
      <c r="B1900" s="1"/>
    </row>
    <row r="1901" spans="2:2" x14ac:dyDescent="0.25">
      <c r="B1901" s="1"/>
    </row>
    <row r="1902" spans="2:2" x14ac:dyDescent="0.25">
      <c r="B1902" s="1"/>
    </row>
    <row r="1903" spans="2:2" x14ac:dyDescent="0.25">
      <c r="B1903" s="1"/>
    </row>
    <row r="1904" spans="2:2" x14ac:dyDescent="0.25">
      <c r="B1904" s="1"/>
    </row>
    <row r="1905" spans="2:2" x14ac:dyDescent="0.25">
      <c r="B1905" s="1"/>
    </row>
    <row r="1906" spans="2:2" x14ac:dyDescent="0.25">
      <c r="B1906" s="1"/>
    </row>
    <row r="1907" spans="2:2" x14ac:dyDescent="0.25">
      <c r="B1907" s="1"/>
    </row>
    <row r="1908" spans="2:2" x14ac:dyDescent="0.25">
      <c r="B1908" s="1"/>
    </row>
    <row r="1909" spans="2:2" x14ac:dyDescent="0.25">
      <c r="B1909" s="1"/>
    </row>
    <row r="1910" spans="2:2" x14ac:dyDescent="0.25">
      <c r="B1910" s="1"/>
    </row>
    <row r="1911" spans="2:2" x14ac:dyDescent="0.25">
      <c r="B1911" s="1"/>
    </row>
    <row r="1912" spans="2:2" x14ac:dyDescent="0.25">
      <c r="B1912" s="1"/>
    </row>
    <row r="1913" spans="2:2" x14ac:dyDescent="0.25">
      <c r="B1913" s="1"/>
    </row>
    <row r="1914" spans="2:2" x14ac:dyDescent="0.25">
      <c r="B1914" s="1"/>
    </row>
    <row r="1915" spans="2:2" x14ac:dyDescent="0.25">
      <c r="B1915" s="1"/>
    </row>
    <row r="1916" spans="2:2" x14ac:dyDescent="0.25">
      <c r="B1916" s="1"/>
    </row>
    <row r="1917" spans="2:2" x14ac:dyDescent="0.25">
      <c r="B1917" s="1"/>
    </row>
    <row r="1918" spans="2:2" x14ac:dyDescent="0.25">
      <c r="B1918" s="1"/>
    </row>
    <row r="1919" spans="2:2" x14ac:dyDescent="0.25">
      <c r="B1919" s="1"/>
    </row>
    <row r="1920" spans="2:2" x14ac:dyDescent="0.25">
      <c r="B1920" s="1"/>
    </row>
    <row r="1921" spans="2:2" x14ac:dyDescent="0.25">
      <c r="B1921" s="1"/>
    </row>
    <row r="1922" spans="2:2" x14ac:dyDescent="0.25">
      <c r="B1922" s="1"/>
    </row>
    <row r="1923" spans="2:2" x14ac:dyDescent="0.25">
      <c r="B1923" s="1"/>
    </row>
    <row r="1924" spans="2:2" x14ac:dyDescent="0.25">
      <c r="B1924" s="1"/>
    </row>
    <row r="1925" spans="2:2" x14ac:dyDescent="0.25">
      <c r="B1925" s="1"/>
    </row>
    <row r="1926" spans="2:2" x14ac:dyDescent="0.25">
      <c r="B1926" s="1"/>
    </row>
    <row r="1927" spans="2:2" x14ac:dyDescent="0.25">
      <c r="B1927" s="1"/>
    </row>
    <row r="1928" spans="2:2" x14ac:dyDescent="0.25">
      <c r="B1928" s="1"/>
    </row>
    <row r="1929" spans="2:2" x14ac:dyDescent="0.25">
      <c r="B1929" s="1"/>
    </row>
    <row r="1930" spans="2:2" x14ac:dyDescent="0.25">
      <c r="B1930" s="1"/>
    </row>
    <row r="1931" spans="2:2" x14ac:dyDescent="0.25">
      <c r="B1931" s="1"/>
    </row>
    <row r="1932" spans="2:2" x14ac:dyDescent="0.25">
      <c r="B1932" s="1"/>
    </row>
    <row r="1933" spans="2:2" x14ac:dyDescent="0.25">
      <c r="B1933" s="1"/>
    </row>
    <row r="1934" spans="2:2" x14ac:dyDescent="0.25">
      <c r="B1934" s="1"/>
    </row>
    <row r="1935" spans="2:2" x14ac:dyDescent="0.25">
      <c r="B1935" s="1"/>
    </row>
    <row r="1936" spans="2:2" x14ac:dyDescent="0.25">
      <c r="B1936" s="1"/>
    </row>
    <row r="1937" spans="2:2" x14ac:dyDescent="0.25">
      <c r="B1937" s="1"/>
    </row>
    <row r="1938" spans="2:2" x14ac:dyDescent="0.25">
      <c r="B1938" s="1"/>
    </row>
    <row r="1939" spans="2:2" x14ac:dyDescent="0.25">
      <c r="B1939" s="1"/>
    </row>
    <row r="1940" spans="2:2" x14ac:dyDescent="0.25">
      <c r="B1940" s="1"/>
    </row>
    <row r="1941" spans="2:2" x14ac:dyDescent="0.25">
      <c r="B1941" s="1"/>
    </row>
    <row r="1942" spans="2:2" x14ac:dyDescent="0.25">
      <c r="B1942" s="1"/>
    </row>
    <row r="1943" spans="2:2" x14ac:dyDescent="0.25">
      <c r="B1943" s="1"/>
    </row>
    <row r="1944" spans="2:2" x14ac:dyDescent="0.25">
      <c r="B1944" s="1"/>
    </row>
    <row r="1945" spans="2:2" x14ac:dyDescent="0.25">
      <c r="B1945" s="1"/>
    </row>
    <row r="1946" spans="2:2" x14ac:dyDescent="0.25">
      <c r="B1946" s="1"/>
    </row>
    <row r="1947" spans="2:2" x14ac:dyDescent="0.25">
      <c r="B1947" s="1"/>
    </row>
    <row r="1948" spans="2:2" x14ac:dyDescent="0.25">
      <c r="B1948" s="1"/>
    </row>
    <row r="1949" spans="2:2" x14ac:dyDescent="0.25">
      <c r="B1949" s="1"/>
    </row>
    <row r="1950" spans="2:2" x14ac:dyDescent="0.25">
      <c r="B1950" s="1"/>
    </row>
    <row r="1951" spans="2:2" x14ac:dyDescent="0.25">
      <c r="B1951" s="1"/>
    </row>
    <row r="1952" spans="2:2" x14ac:dyDescent="0.25">
      <c r="B1952" s="1"/>
    </row>
    <row r="1953" spans="2:2" x14ac:dyDescent="0.25">
      <c r="B1953" s="1"/>
    </row>
    <row r="1954" spans="2:2" x14ac:dyDescent="0.25">
      <c r="B1954" s="1"/>
    </row>
    <row r="1955" spans="2:2" x14ac:dyDescent="0.25">
      <c r="B1955" s="1"/>
    </row>
    <row r="1956" spans="2:2" x14ac:dyDescent="0.25">
      <c r="B1956" s="1"/>
    </row>
    <row r="1957" spans="2:2" x14ac:dyDescent="0.25">
      <c r="B1957" s="1"/>
    </row>
    <row r="1958" spans="2:2" x14ac:dyDescent="0.25">
      <c r="B1958" s="1"/>
    </row>
    <row r="1959" spans="2:2" x14ac:dyDescent="0.25">
      <c r="B1959" s="1"/>
    </row>
    <row r="1960" spans="2:2" x14ac:dyDescent="0.25">
      <c r="B1960" s="1"/>
    </row>
    <row r="1961" spans="2:2" x14ac:dyDescent="0.25">
      <c r="B1961" s="1"/>
    </row>
    <row r="1962" spans="2:2" x14ac:dyDescent="0.25">
      <c r="B1962" s="1"/>
    </row>
    <row r="1963" spans="2:2" x14ac:dyDescent="0.25">
      <c r="B1963" s="1"/>
    </row>
    <row r="1964" spans="2:2" x14ac:dyDescent="0.25">
      <c r="B1964" s="1"/>
    </row>
    <row r="1965" spans="2:2" x14ac:dyDescent="0.25">
      <c r="B1965" s="1"/>
    </row>
    <row r="1966" spans="2:2" x14ac:dyDescent="0.25">
      <c r="B1966" s="1"/>
    </row>
    <row r="1967" spans="2:2" x14ac:dyDescent="0.25">
      <c r="B1967" s="1"/>
    </row>
    <row r="1968" spans="2:2" x14ac:dyDescent="0.25">
      <c r="B1968" s="1"/>
    </row>
    <row r="1969" spans="2:2" x14ac:dyDescent="0.25">
      <c r="B1969" s="1"/>
    </row>
    <row r="1970" spans="2:2" x14ac:dyDescent="0.25">
      <c r="B1970" s="1"/>
    </row>
    <row r="1971" spans="2:2" x14ac:dyDescent="0.25">
      <c r="B1971" s="1"/>
    </row>
    <row r="1972" spans="2:2" x14ac:dyDescent="0.25">
      <c r="B1972" s="1"/>
    </row>
    <row r="1973" spans="2:2" x14ac:dyDescent="0.25">
      <c r="B1973" s="1"/>
    </row>
    <row r="1974" spans="2:2" x14ac:dyDescent="0.25">
      <c r="B1974" s="1"/>
    </row>
    <row r="1975" spans="2:2" x14ac:dyDescent="0.25">
      <c r="B1975" s="1"/>
    </row>
    <row r="1976" spans="2:2" x14ac:dyDescent="0.25">
      <c r="B1976" s="1"/>
    </row>
    <row r="1977" spans="2:2" x14ac:dyDescent="0.25">
      <c r="B1977" s="1"/>
    </row>
    <row r="1978" spans="2:2" x14ac:dyDescent="0.25">
      <c r="B1978" s="1"/>
    </row>
    <row r="1979" spans="2:2" x14ac:dyDescent="0.25">
      <c r="B1979" s="1"/>
    </row>
    <row r="1980" spans="2:2" x14ac:dyDescent="0.25">
      <c r="B1980" s="1"/>
    </row>
    <row r="1981" spans="2:2" x14ac:dyDescent="0.25">
      <c r="B1981" s="1"/>
    </row>
    <row r="1982" spans="2:2" x14ac:dyDescent="0.25">
      <c r="B1982" s="1"/>
    </row>
    <row r="1983" spans="2:2" x14ac:dyDescent="0.25">
      <c r="B1983" s="1"/>
    </row>
    <row r="1984" spans="2:2" x14ac:dyDescent="0.25">
      <c r="B1984" s="1"/>
    </row>
    <row r="1985" spans="2:2" x14ac:dyDescent="0.25">
      <c r="B1985" s="1"/>
    </row>
    <row r="1986" spans="2:2" x14ac:dyDescent="0.25">
      <c r="B1986" s="1"/>
    </row>
    <row r="1987" spans="2:2" x14ac:dyDescent="0.25">
      <c r="B1987" s="1"/>
    </row>
    <row r="1988" spans="2:2" x14ac:dyDescent="0.25">
      <c r="B1988" s="1"/>
    </row>
    <row r="1989" spans="2:2" x14ac:dyDescent="0.25">
      <c r="B1989" s="1"/>
    </row>
    <row r="1990" spans="2:2" x14ac:dyDescent="0.25">
      <c r="B1990" s="1"/>
    </row>
    <row r="1991" spans="2:2" x14ac:dyDescent="0.25">
      <c r="B1991" s="1"/>
    </row>
    <row r="1992" spans="2:2" x14ac:dyDescent="0.25">
      <c r="B1992" s="1"/>
    </row>
    <row r="1993" spans="2:2" x14ac:dyDescent="0.25">
      <c r="B1993" s="1"/>
    </row>
    <row r="1994" spans="2:2" x14ac:dyDescent="0.25">
      <c r="B1994" s="1"/>
    </row>
    <row r="1995" spans="2:2" x14ac:dyDescent="0.25">
      <c r="B1995" s="1"/>
    </row>
    <row r="1996" spans="2:2" x14ac:dyDescent="0.25">
      <c r="B1996" s="1"/>
    </row>
    <row r="1997" spans="2:2" x14ac:dyDescent="0.25">
      <c r="B1997" s="1"/>
    </row>
    <row r="1998" spans="2:2" x14ac:dyDescent="0.25">
      <c r="B1998" s="1"/>
    </row>
    <row r="1999" spans="2:2" x14ac:dyDescent="0.25">
      <c r="B1999" s="1"/>
    </row>
    <row r="2000" spans="2:2" x14ac:dyDescent="0.25">
      <c r="B2000" s="1"/>
    </row>
    <row r="2001" spans="2:2" x14ac:dyDescent="0.25">
      <c r="B2001" s="1"/>
    </row>
    <row r="2002" spans="2:2" x14ac:dyDescent="0.25">
      <c r="B2002" s="1"/>
    </row>
    <row r="2003" spans="2:2" x14ac:dyDescent="0.25">
      <c r="B2003" s="1"/>
    </row>
    <row r="2004" spans="2:2" x14ac:dyDescent="0.25">
      <c r="B2004" s="1"/>
    </row>
    <row r="2005" spans="2:2" x14ac:dyDescent="0.25">
      <c r="B2005" s="1"/>
    </row>
    <row r="2006" spans="2:2" x14ac:dyDescent="0.25">
      <c r="B2006" s="1"/>
    </row>
    <row r="2007" spans="2:2" x14ac:dyDescent="0.25">
      <c r="B2007" s="1"/>
    </row>
    <row r="2008" spans="2:2" x14ac:dyDescent="0.25">
      <c r="B2008" s="1"/>
    </row>
    <row r="2009" spans="2:2" x14ac:dyDescent="0.25">
      <c r="B2009" s="1"/>
    </row>
    <row r="2010" spans="2:2" x14ac:dyDescent="0.25">
      <c r="B2010" s="1"/>
    </row>
    <row r="2011" spans="2:2" x14ac:dyDescent="0.25">
      <c r="B2011" s="1"/>
    </row>
    <row r="2012" spans="2:2" x14ac:dyDescent="0.25">
      <c r="B2012" s="1"/>
    </row>
    <row r="2013" spans="2:2" x14ac:dyDescent="0.25">
      <c r="B2013" s="1"/>
    </row>
    <row r="2014" spans="2:2" x14ac:dyDescent="0.25">
      <c r="B2014" s="1"/>
    </row>
    <row r="2015" spans="2:2" x14ac:dyDescent="0.25">
      <c r="B2015" s="1"/>
    </row>
    <row r="2016" spans="2:2" x14ac:dyDescent="0.25">
      <c r="B2016" s="1"/>
    </row>
    <row r="2017" spans="2:2" x14ac:dyDescent="0.25">
      <c r="B2017" s="1"/>
    </row>
    <row r="2018" spans="2:2" x14ac:dyDescent="0.25">
      <c r="B2018" s="1"/>
    </row>
    <row r="2019" spans="2:2" x14ac:dyDescent="0.25">
      <c r="B2019" s="1"/>
    </row>
    <row r="2020" spans="2:2" x14ac:dyDescent="0.25">
      <c r="B2020" s="1"/>
    </row>
    <row r="2021" spans="2:2" x14ac:dyDescent="0.25">
      <c r="B2021" s="1"/>
    </row>
    <row r="2022" spans="2:2" x14ac:dyDescent="0.25">
      <c r="B2022" s="1"/>
    </row>
    <row r="2023" spans="2:2" x14ac:dyDescent="0.25">
      <c r="B2023" s="1"/>
    </row>
    <row r="2024" spans="2:2" x14ac:dyDescent="0.25">
      <c r="B2024" s="1"/>
    </row>
    <row r="2025" spans="2:2" x14ac:dyDescent="0.25">
      <c r="B2025" s="1"/>
    </row>
    <row r="2026" spans="2:2" x14ac:dyDescent="0.25">
      <c r="B2026" s="1"/>
    </row>
    <row r="2027" spans="2:2" x14ac:dyDescent="0.25">
      <c r="B2027" s="1"/>
    </row>
    <row r="2028" spans="2:2" x14ac:dyDescent="0.25">
      <c r="B2028" s="1"/>
    </row>
    <row r="2029" spans="2:2" x14ac:dyDescent="0.25">
      <c r="B2029" s="1"/>
    </row>
    <row r="2030" spans="2:2" x14ac:dyDescent="0.25">
      <c r="B2030" s="1"/>
    </row>
    <row r="2031" spans="2:2" x14ac:dyDescent="0.25">
      <c r="B2031" s="1"/>
    </row>
    <row r="2032" spans="2:2" x14ac:dyDescent="0.25">
      <c r="B2032" s="1"/>
    </row>
    <row r="2033" spans="2:2" x14ac:dyDescent="0.25">
      <c r="B2033" s="1"/>
    </row>
    <row r="2034" spans="2:2" x14ac:dyDescent="0.25">
      <c r="B2034" s="1"/>
    </row>
    <row r="2035" spans="2:2" x14ac:dyDescent="0.25">
      <c r="B2035" s="1"/>
    </row>
    <row r="2036" spans="2:2" x14ac:dyDescent="0.25">
      <c r="B2036" s="1"/>
    </row>
    <row r="2037" spans="2:2" x14ac:dyDescent="0.25">
      <c r="B2037" s="1"/>
    </row>
    <row r="2038" spans="2:2" x14ac:dyDescent="0.25">
      <c r="B2038" s="1"/>
    </row>
    <row r="2039" spans="2:2" x14ac:dyDescent="0.25">
      <c r="B2039" s="1"/>
    </row>
    <row r="2040" spans="2:2" x14ac:dyDescent="0.25">
      <c r="B2040" s="1"/>
    </row>
    <row r="2041" spans="2:2" x14ac:dyDescent="0.25">
      <c r="B2041" s="1"/>
    </row>
    <row r="2042" spans="2:2" x14ac:dyDescent="0.25">
      <c r="B2042" s="1"/>
    </row>
    <row r="2043" spans="2:2" x14ac:dyDescent="0.25">
      <c r="B2043" s="1"/>
    </row>
    <row r="2044" spans="2:2" x14ac:dyDescent="0.25">
      <c r="B2044" s="1"/>
    </row>
    <row r="2045" spans="2:2" x14ac:dyDescent="0.25">
      <c r="B2045" s="1"/>
    </row>
    <row r="2046" spans="2:2" x14ac:dyDescent="0.25">
      <c r="B2046" s="1"/>
    </row>
    <row r="2047" spans="2:2" x14ac:dyDescent="0.25">
      <c r="B2047" s="1"/>
    </row>
    <row r="2048" spans="2:2" x14ac:dyDescent="0.25">
      <c r="B2048" s="1"/>
    </row>
    <row r="2049" spans="2:2" x14ac:dyDescent="0.25">
      <c r="B2049" s="1"/>
    </row>
    <row r="2050" spans="2:2" x14ac:dyDescent="0.25">
      <c r="B2050" s="1"/>
    </row>
    <row r="2051" spans="2:2" x14ac:dyDescent="0.25">
      <c r="B2051" s="1"/>
    </row>
    <row r="2052" spans="2:2" x14ac:dyDescent="0.25">
      <c r="B2052" s="1"/>
    </row>
    <row r="2053" spans="2:2" x14ac:dyDescent="0.25">
      <c r="B2053" s="1"/>
    </row>
    <row r="2054" spans="2:2" x14ac:dyDescent="0.25">
      <c r="B2054" s="1"/>
    </row>
    <row r="2055" spans="2:2" x14ac:dyDescent="0.25">
      <c r="B2055" s="1"/>
    </row>
    <row r="2056" spans="2:2" x14ac:dyDescent="0.25">
      <c r="B2056" s="1"/>
    </row>
    <row r="2057" spans="2:2" x14ac:dyDescent="0.25">
      <c r="B2057" s="1"/>
    </row>
    <row r="2058" spans="2:2" x14ac:dyDescent="0.25">
      <c r="B2058" s="1"/>
    </row>
    <row r="2059" spans="2:2" x14ac:dyDescent="0.25">
      <c r="B2059" s="1"/>
    </row>
    <row r="2060" spans="2:2" x14ac:dyDescent="0.25">
      <c r="B2060" s="1"/>
    </row>
    <row r="2061" spans="2:2" x14ac:dyDescent="0.25">
      <c r="B2061" s="1"/>
    </row>
    <row r="2062" spans="2:2" x14ac:dyDescent="0.25">
      <c r="B2062" s="1"/>
    </row>
    <row r="2063" spans="2:2" x14ac:dyDescent="0.25">
      <c r="B2063" s="1"/>
    </row>
    <row r="2064" spans="2:2" x14ac:dyDescent="0.25">
      <c r="B2064" s="1"/>
    </row>
    <row r="2065" spans="2:2" x14ac:dyDescent="0.25">
      <c r="B2065" s="1"/>
    </row>
    <row r="2066" spans="2:2" x14ac:dyDescent="0.25">
      <c r="B2066" s="1"/>
    </row>
    <row r="2067" spans="2:2" x14ac:dyDescent="0.25">
      <c r="B2067" s="1"/>
    </row>
    <row r="2068" spans="2:2" x14ac:dyDescent="0.25">
      <c r="B2068" s="1"/>
    </row>
    <row r="2069" spans="2:2" x14ac:dyDescent="0.25">
      <c r="B2069" s="1"/>
    </row>
    <row r="2070" spans="2:2" x14ac:dyDescent="0.25">
      <c r="B2070" s="1"/>
    </row>
    <row r="2071" spans="2:2" x14ac:dyDescent="0.25">
      <c r="B2071" s="1"/>
    </row>
    <row r="2072" spans="2:2" x14ac:dyDescent="0.25">
      <c r="B2072" s="1"/>
    </row>
    <row r="2073" spans="2:2" x14ac:dyDescent="0.25">
      <c r="B2073" s="1"/>
    </row>
    <row r="2074" spans="2:2" x14ac:dyDescent="0.25">
      <c r="B2074" s="1"/>
    </row>
    <row r="2075" spans="2:2" x14ac:dyDescent="0.25">
      <c r="B2075" s="1"/>
    </row>
    <row r="2076" spans="2:2" x14ac:dyDescent="0.25">
      <c r="B2076" s="1"/>
    </row>
    <row r="2077" spans="2:2" x14ac:dyDescent="0.25">
      <c r="B2077" s="1"/>
    </row>
    <row r="2078" spans="2:2" x14ac:dyDescent="0.25">
      <c r="B2078" s="1"/>
    </row>
    <row r="2079" spans="2:2" x14ac:dyDescent="0.25">
      <c r="B2079" s="1"/>
    </row>
    <row r="2080" spans="2:2" x14ac:dyDescent="0.25">
      <c r="B2080" s="1"/>
    </row>
    <row r="2081" spans="2:2" x14ac:dyDescent="0.25">
      <c r="B2081" s="1"/>
    </row>
    <row r="2082" spans="2:2" x14ac:dyDescent="0.25">
      <c r="B2082" s="1"/>
    </row>
    <row r="2083" spans="2:2" x14ac:dyDescent="0.25">
      <c r="B2083" s="1"/>
    </row>
    <row r="2084" spans="2:2" x14ac:dyDescent="0.25">
      <c r="B2084" s="1"/>
    </row>
    <row r="2085" spans="2:2" x14ac:dyDescent="0.25">
      <c r="B2085" s="1"/>
    </row>
    <row r="2086" spans="2:2" x14ac:dyDescent="0.25">
      <c r="B2086" s="1"/>
    </row>
    <row r="2087" spans="2:2" x14ac:dyDescent="0.25">
      <c r="B2087" s="1"/>
    </row>
    <row r="2088" spans="2:2" x14ac:dyDescent="0.25">
      <c r="B2088" s="1"/>
    </row>
    <row r="2089" spans="2:2" x14ac:dyDescent="0.25">
      <c r="B2089" s="1"/>
    </row>
    <row r="2090" spans="2:2" x14ac:dyDescent="0.25">
      <c r="B2090" s="1"/>
    </row>
    <row r="2091" spans="2:2" x14ac:dyDescent="0.25">
      <c r="B2091" s="1"/>
    </row>
    <row r="2092" spans="2:2" x14ac:dyDescent="0.25">
      <c r="B2092" s="1"/>
    </row>
    <row r="2093" spans="2:2" x14ac:dyDescent="0.25">
      <c r="B2093" s="1"/>
    </row>
    <row r="2094" spans="2:2" x14ac:dyDescent="0.25">
      <c r="B2094" s="1"/>
    </row>
    <row r="2095" spans="2:2" x14ac:dyDescent="0.25">
      <c r="B2095" s="1"/>
    </row>
    <row r="2096" spans="2:2" x14ac:dyDescent="0.25">
      <c r="B2096" s="1"/>
    </row>
    <row r="2097" spans="2:2" x14ac:dyDescent="0.25">
      <c r="B2097" s="1"/>
    </row>
    <row r="2098" spans="2:2" x14ac:dyDescent="0.25">
      <c r="B2098" s="1"/>
    </row>
    <row r="2099" spans="2:2" x14ac:dyDescent="0.25">
      <c r="B2099" s="1"/>
    </row>
    <row r="2100" spans="2:2" x14ac:dyDescent="0.25">
      <c r="B2100" s="1"/>
    </row>
    <row r="2101" spans="2:2" x14ac:dyDescent="0.25">
      <c r="B2101" s="1"/>
    </row>
    <row r="2102" spans="2:2" x14ac:dyDescent="0.25">
      <c r="B2102" s="1"/>
    </row>
    <row r="2103" spans="2:2" x14ac:dyDescent="0.25">
      <c r="B2103" s="1"/>
    </row>
    <row r="2104" spans="2:2" x14ac:dyDescent="0.25">
      <c r="B2104" s="1"/>
    </row>
    <row r="2105" spans="2:2" x14ac:dyDescent="0.25">
      <c r="B2105" s="1"/>
    </row>
    <row r="2106" spans="2:2" x14ac:dyDescent="0.25">
      <c r="B2106" s="1"/>
    </row>
    <row r="2107" spans="2:2" x14ac:dyDescent="0.25">
      <c r="B2107" s="1"/>
    </row>
    <row r="2108" spans="2:2" x14ac:dyDescent="0.25">
      <c r="B2108" s="1"/>
    </row>
    <row r="2109" spans="2:2" x14ac:dyDescent="0.25">
      <c r="B2109" s="1"/>
    </row>
    <row r="2110" spans="2:2" x14ac:dyDescent="0.25">
      <c r="B2110" s="1"/>
    </row>
    <row r="2111" spans="2:2" x14ac:dyDescent="0.25">
      <c r="B2111" s="1"/>
    </row>
    <row r="2112" spans="2:2" x14ac:dyDescent="0.25">
      <c r="B2112" s="1"/>
    </row>
    <row r="2113" spans="2:2" x14ac:dyDescent="0.25">
      <c r="B2113" s="1"/>
    </row>
    <row r="2114" spans="2:2" x14ac:dyDescent="0.25">
      <c r="B2114" s="1"/>
    </row>
    <row r="2115" spans="2:2" x14ac:dyDescent="0.25">
      <c r="B2115" s="1"/>
    </row>
    <row r="2116" spans="2:2" x14ac:dyDescent="0.25">
      <c r="B2116" s="1"/>
    </row>
    <row r="2117" spans="2:2" x14ac:dyDescent="0.25">
      <c r="B2117" s="1"/>
    </row>
    <row r="2118" spans="2:2" x14ac:dyDescent="0.25">
      <c r="B2118" s="1"/>
    </row>
    <row r="2119" spans="2:2" x14ac:dyDescent="0.25">
      <c r="B2119" s="1"/>
    </row>
    <row r="2120" spans="2:2" x14ac:dyDescent="0.25">
      <c r="B2120" s="1"/>
    </row>
    <row r="2121" spans="2:2" x14ac:dyDescent="0.25">
      <c r="B2121" s="1"/>
    </row>
    <row r="2122" spans="2:2" x14ac:dyDescent="0.25">
      <c r="B2122" s="1"/>
    </row>
    <row r="2123" spans="2:2" x14ac:dyDescent="0.25">
      <c r="B2123" s="1"/>
    </row>
    <row r="2124" spans="2:2" x14ac:dyDescent="0.25">
      <c r="B2124" s="1"/>
    </row>
    <row r="2125" spans="2:2" x14ac:dyDescent="0.25">
      <c r="B2125" s="1"/>
    </row>
    <row r="2126" spans="2:2" x14ac:dyDescent="0.25">
      <c r="B2126" s="1"/>
    </row>
    <row r="2127" spans="2:2" x14ac:dyDescent="0.25">
      <c r="B2127" s="1"/>
    </row>
    <row r="2128" spans="2:2" x14ac:dyDescent="0.25">
      <c r="B2128" s="1"/>
    </row>
    <row r="2129" spans="2:2" x14ac:dyDescent="0.25">
      <c r="B2129" s="1"/>
    </row>
    <row r="2130" spans="2:2" x14ac:dyDescent="0.25">
      <c r="B2130" s="1"/>
    </row>
    <row r="2131" spans="2:2" x14ac:dyDescent="0.25">
      <c r="B2131" s="1"/>
    </row>
    <row r="2132" spans="2:2" x14ac:dyDescent="0.25">
      <c r="B2132" s="1"/>
    </row>
    <row r="2133" spans="2:2" x14ac:dyDescent="0.25">
      <c r="B2133" s="1"/>
    </row>
    <row r="2134" spans="2:2" x14ac:dyDescent="0.25">
      <c r="B2134" s="1"/>
    </row>
    <row r="2135" spans="2:2" x14ac:dyDescent="0.25">
      <c r="B2135" s="1"/>
    </row>
    <row r="2136" spans="2:2" x14ac:dyDescent="0.25">
      <c r="B2136" s="1"/>
    </row>
    <row r="2137" spans="2:2" x14ac:dyDescent="0.25">
      <c r="B2137" s="1"/>
    </row>
    <row r="2138" spans="2:2" x14ac:dyDescent="0.25">
      <c r="B2138" s="1"/>
    </row>
    <row r="2139" spans="2:2" x14ac:dyDescent="0.25">
      <c r="B2139" s="1"/>
    </row>
    <row r="2140" spans="2:2" x14ac:dyDescent="0.25">
      <c r="B2140" s="1"/>
    </row>
    <row r="2141" spans="2:2" x14ac:dyDescent="0.25">
      <c r="B2141" s="1"/>
    </row>
    <row r="2142" spans="2:2" x14ac:dyDescent="0.25">
      <c r="B2142" s="1"/>
    </row>
    <row r="2143" spans="2:2" x14ac:dyDescent="0.25">
      <c r="B2143" s="1"/>
    </row>
    <row r="2144" spans="2:2" x14ac:dyDescent="0.25">
      <c r="B2144" s="1"/>
    </row>
    <row r="2145" spans="2:2" x14ac:dyDescent="0.25">
      <c r="B2145" s="1"/>
    </row>
    <row r="2146" spans="2:2" x14ac:dyDescent="0.25">
      <c r="B2146" s="1"/>
    </row>
    <row r="2147" spans="2:2" x14ac:dyDescent="0.25">
      <c r="B2147" s="1"/>
    </row>
    <row r="2148" spans="2:2" x14ac:dyDescent="0.25">
      <c r="B2148" s="1"/>
    </row>
    <row r="2149" spans="2:2" x14ac:dyDescent="0.25">
      <c r="B2149" s="1"/>
    </row>
    <row r="2150" spans="2:2" x14ac:dyDescent="0.25">
      <c r="B2150" s="1"/>
    </row>
    <row r="2151" spans="2:2" x14ac:dyDescent="0.25">
      <c r="B2151" s="1"/>
    </row>
    <row r="2152" spans="2:2" x14ac:dyDescent="0.25">
      <c r="B2152" s="1"/>
    </row>
    <row r="2153" spans="2:2" x14ac:dyDescent="0.25">
      <c r="B2153" s="1"/>
    </row>
    <row r="2154" spans="2:2" x14ac:dyDescent="0.25">
      <c r="B2154" s="1"/>
    </row>
    <row r="2155" spans="2:2" x14ac:dyDescent="0.25">
      <c r="B2155" s="1"/>
    </row>
    <row r="2156" spans="2:2" x14ac:dyDescent="0.25">
      <c r="B2156" s="1"/>
    </row>
    <row r="2157" spans="2:2" x14ac:dyDescent="0.25">
      <c r="B2157" s="1"/>
    </row>
    <row r="2158" spans="2:2" x14ac:dyDescent="0.25">
      <c r="B2158" s="1"/>
    </row>
    <row r="2159" spans="2:2" x14ac:dyDescent="0.25">
      <c r="B2159" s="1"/>
    </row>
    <row r="2160" spans="2:2" x14ac:dyDescent="0.25">
      <c r="B2160" s="1"/>
    </row>
    <row r="2161" spans="2:2" x14ac:dyDescent="0.25">
      <c r="B2161" s="1"/>
    </row>
    <row r="2162" spans="2:2" x14ac:dyDescent="0.25">
      <c r="B2162" s="1"/>
    </row>
    <row r="2163" spans="2:2" x14ac:dyDescent="0.25">
      <c r="B2163" s="1"/>
    </row>
    <row r="2164" spans="2:2" x14ac:dyDescent="0.25">
      <c r="B2164" s="1"/>
    </row>
    <row r="2165" spans="2:2" x14ac:dyDescent="0.25">
      <c r="B2165" s="1"/>
    </row>
    <row r="2166" spans="2:2" x14ac:dyDescent="0.25">
      <c r="B2166" s="1"/>
    </row>
    <row r="2167" spans="2:2" x14ac:dyDescent="0.25">
      <c r="B2167" s="1"/>
    </row>
    <row r="2168" spans="2:2" x14ac:dyDescent="0.25">
      <c r="B2168" s="1"/>
    </row>
    <row r="2169" spans="2:2" x14ac:dyDescent="0.25">
      <c r="B2169" s="1"/>
    </row>
    <row r="2170" spans="2:2" x14ac:dyDescent="0.25">
      <c r="B2170" s="1"/>
    </row>
    <row r="2171" spans="2:2" x14ac:dyDescent="0.25">
      <c r="B2171" s="1"/>
    </row>
    <row r="2172" spans="2:2" x14ac:dyDescent="0.25">
      <c r="B2172" s="1"/>
    </row>
    <row r="2173" spans="2:2" x14ac:dyDescent="0.25">
      <c r="B2173" s="1"/>
    </row>
    <row r="2174" spans="2:2" x14ac:dyDescent="0.25">
      <c r="B2174" s="1"/>
    </row>
    <row r="2175" spans="2:2" x14ac:dyDescent="0.25">
      <c r="B2175" s="1"/>
    </row>
    <row r="2176" spans="2:2" x14ac:dyDescent="0.25">
      <c r="B2176" s="1"/>
    </row>
    <row r="2177" spans="2:2" x14ac:dyDescent="0.25">
      <c r="B2177" s="1"/>
    </row>
    <row r="2178" spans="2:2" x14ac:dyDescent="0.25">
      <c r="B2178" s="1"/>
    </row>
    <row r="2179" spans="2:2" x14ac:dyDescent="0.25">
      <c r="B2179" s="1"/>
    </row>
    <row r="2180" spans="2:2" x14ac:dyDescent="0.25">
      <c r="B2180" s="1"/>
    </row>
    <row r="2181" spans="2:2" x14ac:dyDescent="0.25">
      <c r="B2181" s="1"/>
    </row>
    <row r="2182" spans="2:2" x14ac:dyDescent="0.25">
      <c r="B2182" s="1"/>
    </row>
    <row r="2183" spans="2:2" x14ac:dyDescent="0.25">
      <c r="B2183" s="1"/>
    </row>
    <row r="2184" spans="2:2" x14ac:dyDescent="0.25">
      <c r="B2184" s="1"/>
    </row>
    <row r="2185" spans="2:2" x14ac:dyDescent="0.25">
      <c r="B2185" s="1"/>
    </row>
    <row r="2186" spans="2:2" x14ac:dyDescent="0.25">
      <c r="B2186" s="1"/>
    </row>
    <row r="2187" spans="2:2" x14ac:dyDescent="0.25">
      <c r="B2187" s="1"/>
    </row>
    <row r="2188" spans="2:2" x14ac:dyDescent="0.25">
      <c r="B2188" s="1"/>
    </row>
    <row r="2189" spans="2:2" x14ac:dyDescent="0.25">
      <c r="B2189" s="1"/>
    </row>
    <row r="2190" spans="2:2" x14ac:dyDescent="0.25">
      <c r="B2190" s="1"/>
    </row>
    <row r="2191" spans="2:2" x14ac:dyDescent="0.25">
      <c r="B2191" s="1"/>
    </row>
    <row r="2192" spans="2:2" x14ac:dyDescent="0.25">
      <c r="B2192" s="1"/>
    </row>
    <row r="2193" spans="2:2" x14ac:dyDescent="0.25">
      <c r="B2193" s="1"/>
    </row>
    <row r="2194" spans="2:2" x14ac:dyDescent="0.25">
      <c r="B2194" s="1"/>
    </row>
    <row r="2195" spans="2:2" x14ac:dyDescent="0.25">
      <c r="B2195" s="1"/>
    </row>
    <row r="2196" spans="2:2" x14ac:dyDescent="0.25">
      <c r="B2196" s="1"/>
    </row>
    <row r="2197" spans="2:2" x14ac:dyDescent="0.25">
      <c r="B2197" s="1"/>
    </row>
    <row r="2198" spans="2:2" x14ac:dyDescent="0.25">
      <c r="B2198" s="1"/>
    </row>
    <row r="2199" spans="2:2" x14ac:dyDescent="0.25">
      <c r="B2199" s="1"/>
    </row>
    <row r="2200" spans="2:2" x14ac:dyDescent="0.25">
      <c r="B2200" s="1"/>
    </row>
    <row r="2201" spans="2:2" x14ac:dyDescent="0.25">
      <c r="B2201" s="1"/>
    </row>
    <row r="2202" spans="2:2" x14ac:dyDescent="0.25">
      <c r="B2202" s="1"/>
    </row>
    <row r="2203" spans="2:2" x14ac:dyDescent="0.25">
      <c r="B2203" s="1"/>
    </row>
    <row r="2204" spans="2:2" x14ac:dyDescent="0.25">
      <c r="B2204" s="1"/>
    </row>
    <row r="2205" spans="2:2" x14ac:dyDescent="0.25">
      <c r="B2205" s="1"/>
    </row>
    <row r="2206" spans="2:2" x14ac:dyDescent="0.25">
      <c r="B2206" s="1"/>
    </row>
    <row r="2207" spans="2:2" x14ac:dyDescent="0.25">
      <c r="B2207" s="1"/>
    </row>
    <row r="2208" spans="2:2" x14ac:dyDescent="0.25">
      <c r="B2208" s="1"/>
    </row>
    <row r="2209" spans="2:2" x14ac:dyDescent="0.25">
      <c r="B2209" s="1"/>
    </row>
    <row r="2210" spans="2:2" x14ac:dyDescent="0.25">
      <c r="B2210" s="1"/>
    </row>
    <row r="2211" spans="2:2" x14ac:dyDescent="0.25">
      <c r="B2211" s="1"/>
    </row>
    <row r="2212" spans="2:2" x14ac:dyDescent="0.25">
      <c r="B2212" s="1"/>
    </row>
    <row r="2213" spans="2:2" x14ac:dyDescent="0.25">
      <c r="B2213" s="1"/>
    </row>
    <row r="2214" spans="2:2" x14ac:dyDescent="0.25">
      <c r="B2214" s="1"/>
    </row>
    <row r="2215" spans="2:2" x14ac:dyDescent="0.25">
      <c r="B2215" s="1"/>
    </row>
    <row r="2216" spans="2:2" x14ac:dyDescent="0.25">
      <c r="B2216" s="1"/>
    </row>
    <row r="2217" spans="2:2" x14ac:dyDescent="0.25">
      <c r="B2217" s="1"/>
    </row>
    <row r="2218" spans="2:2" x14ac:dyDescent="0.25">
      <c r="B2218" s="1"/>
    </row>
    <row r="2219" spans="2:2" x14ac:dyDescent="0.25">
      <c r="B2219" s="1"/>
    </row>
    <row r="2220" spans="2:2" x14ac:dyDescent="0.25">
      <c r="B2220" s="1"/>
    </row>
    <row r="2221" spans="2:2" x14ac:dyDescent="0.25">
      <c r="B2221" s="1"/>
    </row>
    <row r="2222" spans="2:2" x14ac:dyDescent="0.25">
      <c r="B2222" s="1"/>
    </row>
    <row r="2223" spans="2:2" x14ac:dyDescent="0.25">
      <c r="B2223" s="1"/>
    </row>
    <row r="2224" spans="2:2" x14ac:dyDescent="0.25">
      <c r="B2224" s="1"/>
    </row>
    <row r="2225" spans="2:2" x14ac:dyDescent="0.25">
      <c r="B2225" s="1"/>
    </row>
    <row r="2226" spans="2:2" x14ac:dyDescent="0.25">
      <c r="B2226" s="1"/>
    </row>
    <row r="2227" spans="2:2" x14ac:dyDescent="0.25">
      <c r="B2227" s="1"/>
    </row>
    <row r="2228" spans="2:2" x14ac:dyDescent="0.25">
      <c r="B2228" s="1"/>
    </row>
    <row r="2229" spans="2:2" x14ac:dyDescent="0.25">
      <c r="B2229" s="1"/>
    </row>
    <row r="2230" spans="2:2" x14ac:dyDescent="0.25">
      <c r="B2230" s="1"/>
    </row>
    <row r="2231" spans="2:2" x14ac:dyDescent="0.25">
      <c r="B2231" s="1"/>
    </row>
    <row r="2232" spans="2:2" x14ac:dyDescent="0.25">
      <c r="B2232" s="1"/>
    </row>
    <row r="2233" spans="2:2" x14ac:dyDescent="0.25">
      <c r="B2233" s="1"/>
    </row>
    <row r="2234" spans="2:2" x14ac:dyDescent="0.25">
      <c r="B2234" s="1"/>
    </row>
    <row r="2235" spans="2:2" x14ac:dyDescent="0.25">
      <c r="B2235" s="1"/>
    </row>
    <row r="2236" spans="2:2" x14ac:dyDescent="0.25">
      <c r="B2236" s="1"/>
    </row>
    <row r="2237" spans="2:2" x14ac:dyDescent="0.25">
      <c r="B2237" s="1"/>
    </row>
    <row r="2238" spans="2:2" x14ac:dyDescent="0.25">
      <c r="B2238" s="1"/>
    </row>
    <row r="2239" spans="2:2" x14ac:dyDescent="0.25">
      <c r="B2239" s="1"/>
    </row>
    <row r="2240" spans="2:2" x14ac:dyDescent="0.25">
      <c r="B2240" s="1"/>
    </row>
    <row r="2241" spans="2:2" x14ac:dyDescent="0.25">
      <c r="B2241" s="1"/>
    </row>
    <row r="2242" spans="2:2" x14ac:dyDescent="0.25">
      <c r="B2242" s="1"/>
    </row>
    <row r="2243" spans="2:2" x14ac:dyDescent="0.25">
      <c r="B2243" s="1"/>
    </row>
    <row r="2244" spans="2:2" x14ac:dyDescent="0.25">
      <c r="B2244" s="1"/>
    </row>
    <row r="2245" spans="2:2" x14ac:dyDescent="0.25">
      <c r="B2245" s="1"/>
    </row>
    <row r="2246" spans="2:2" x14ac:dyDescent="0.25">
      <c r="B2246" s="1"/>
    </row>
    <row r="2247" spans="2:2" x14ac:dyDescent="0.25">
      <c r="B2247" s="1"/>
    </row>
    <row r="2248" spans="2:2" x14ac:dyDescent="0.25">
      <c r="B2248" s="1"/>
    </row>
    <row r="2249" spans="2:2" x14ac:dyDescent="0.25">
      <c r="B2249" s="1"/>
    </row>
    <row r="2250" spans="2:2" x14ac:dyDescent="0.25">
      <c r="B2250" s="1"/>
    </row>
    <row r="2251" spans="2:2" x14ac:dyDescent="0.25">
      <c r="B2251" s="1"/>
    </row>
    <row r="2252" spans="2:2" x14ac:dyDescent="0.25">
      <c r="B2252" s="1"/>
    </row>
    <row r="2253" spans="2:2" x14ac:dyDescent="0.25">
      <c r="B2253" s="1"/>
    </row>
    <row r="2254" spans="2:2" x14ac:dyDescent="0.25">
      <c r="B2254" s="1"/>
    </row>
    <row r="2255" spans="2:2" x14ac:dyDescent="0.25">
      <c r="B2255" s="1"/>
    </row>
    <row r="2256" spans="2:2" x14ac:dyDescent="0.25">
      <c r="B2256" s="1"/>
    </row>
    <row r="2257" spans="2:2" x14ac:dyDescent="0.25">
      <c r="B2257" s="1"/>
    </row>
    <row r="2258" spans="2:2" x14ac:dyDescent="0.25">
      <c r="B2258" s="1"/>
    </row>
    <row r="2259" spans="2:2" x14ac:dyDescent="0.25">
      <c r="B2259" s="1"/>
    </row>
    <row r="2260" spans="2:2" x14ac:dyDescent="0.25">
      <c r="B2260" s="1"/>
    </row>
    <row r="2261" spans="2:2" x14ac:dyDescent="0.25">
      <c r="B2261" s="1"/>
    </row>
    <row r="2262" spans="2:2" x14ac:dyDescent="0.25">
      <c r="B2262" s="1"/>
    </row>
    <row r="2263" spans="2:2" x14ac:dyDescent="0.25">
      <c r="B2263" s="1"/>
    </row>
    <row r="2264" spans="2:2" x14ac:dyDescent="0.25">
      <c r="B2264" s="1"/>
    </row>
    <row r="2265" spans="2:2" x14ac:dyDescent="0.25">
      <c r="B2265" s="1"/>
    </row>
    <row r="2266" spans="2:2" x14ac:dyDescent="0.25">
      <c r="B2266" s="1"/>
    </row>
    <row r="2267" spans="2:2" x14ac:dyDescent="0.25">
      <c r="B2267" s="1"/>
    </row>
    <row r="2268" spans="2:2" x14ac:dyDescent="0.25">
      <c r="B2268" s="1"/>
    </row>
    <row r="2269" spans="2:2" x14ac:dyDescent="0.25">
      <c r="B2269" s="1"/>
    </row>
    <row r="2270" spans="2:2" x14ac:dyDescent="0.25">
      <c r="B2270" s="1"/>
    </row>
    <row r="2271" spans="2:2" x14ac:dyDescent="0.25">
      <c r="B2271" s="1"/>
    </row>
    <row r="2272" spans="2:2" x14ac:dyDescent="0.25">
      <c r="B2272" s="1"/>
    </row>
    <row r="2273" spans="2:2" x14ac:dyDescent="0.25">
      <c r="B2273" s="1"/>
    </row>
    <row r="2274" spans="2:2" x14ac:dyDescent="0.25">
      <c r="B2274" s="1"/>
    </row>
    <row r="2275" spans="2:2" x14ac:dyDescent="0.25">
      <c r="B2275" s="1"/>
    </row>
    <row r="2276" spans="2:2" x14ac:dyDescent="0.25">
      <c r="B2276" s="1"/>
    </row>
    <row r="2277" spans="2:2" x14ac:dyDescent="0.25">
      <c r="B2277" s="1"/>
    </row>
    <row r="2278" spans="2:2" x14ac:dyDescent="0.25">
      <c r="B2278" s="1"/>
    </row>
    <row r="2279" spans="2:2" x14ac:dyDescent="0.25">
      <c r="B2279" s="1"/>
    </row>
    <row r="2280" spans="2:2" x14ac:dyDescent="0.25">
      <c r="B2280" s="1"/>
    </row>
    <row r="2281" spans="2:2" x14ac:dyDescent="0.25">
      <c r="B2281" s="1"/>
    </row>
    <row r="2282" spans="2:2" x14ac:dyDescent="0.25">
      <c r="B2282" s="1"/>
    </row>
    <row r="2283" spans="2:2" x14ac:dyDescent="0.25">
      <c r="B2283" s="1"/>
    </row>
    <row r="2284" spans="2:2" x14ac:dyDescent="0.25">
      <c r="B2284" s="1"/>
    </row>
    <row r="2285" spans="2:2" x14ac:dyDescent="0.25">
      <c r="B2285" s="1"/>
    </row>
    <row r="2286" spans="2:2" x14ac:dyDescent="0.25">
      <c r="B2286" s="1"/>
    </row>
    <row r="2287" spans="2:2" x14ac:dyDescent="0.25">
      <c r="B2287" s="1"/>
    </row>
    <row r="2288" spans="2:2" x14ac:dyDescent="0.25">
      <c r="B2288" s="1"/>
    </row>
    <row r="2289" spans="2:2" x14ac:dyDescent="0.25">
      <c r="B2289" s="1"/>
    </row>
    <row r="2290" spans="2:2" x14ac:dyDescent="0.25">
      <c r="B2290" s="1"/>
    </row>
    <row r="2291" spans="2:2" x14ac:dyDescent="0.25">
      <c r="B2291" s="1"/>
    </row>
    <row r="2292" spans="2:2" x14ac:dyDescent="0.25">
      <c r="B2292" s="1"/>
    </row>
    <row r="2293" spans="2:2" x14ac:dyDescent="0.25">
      <c r="B2293" s="1"/>
    </row>
    <row r="2294" spans="2:2" x14ac:dyDescent="0.25">
      <c r="B2294" s="1"/>
    </row>
    <row r="2295" spans="2:2" x14ac:dyDescent="0.25">
      <c r="B2295" s="1"/>
    </row>
    <row r="2296" spans="2:2" x14ac:dyDescent="0.25">
      <c r="B2296" s="1"/>
    </row>
    <row r="2297" spans="2:2" x14ac:dyDescent="0.25">
      <c r="B2297" s="1"/>
    </row>
    <row r="2298" spans="2:2" x14ac:dyDescent="0.25">
      <c r="B2298" s="1"/>
    </row>
    <row r="2299" spans="2:2" x14ac:dyDescent="0.25">
      <c r="B2299" s="1"/>
    </row>
    <row r="2300" spans="2:2" x14ac:dyDescent="0.25">
      <c r="B2300" s="1"/>
    </row>
    <row r="2301" spans="2:2" x14ac:dyDescent="0.25">
      <c r="B2301" s="1"/>
    </row>
    <row r="2302" spans="2:2" x14ac:dyDescent="0.25">
      <c r="B2302" s="1"/>
    </row>
    <row r="2303" spans="2:2" x14ac:dyDescent="0.25">
      <c r="B2303" s="1"/>
    </row>
    <row r="2304" spans="2:2" x14ac:dyDescent="0.25">
      <c r="B2304" s="1"/>
    </row>
    <row r="2305" spans="2:2" x14ac:dyDescent="0.25">
      <c r="B2305" s="1"/>
    </row>
    <row r="2306" spans="2:2" x14ac:dyDescent="0.25">
      <c r="B2306" s="1"/>
    </row>
    <row r="2307" spans="2:2" x14ac:dyDescent="0.25">
      <c r="B2307" s="1"/>
    </row>
    <row r="2308" spans="2:2" x14ac:dyDescent="0.25">
      <c r="B2308" s="1"/>
    </row>
    <row r="2309" spans="2:2" x14ac:dyDescent="0.25">
      <c r="B2309" s="1"/>
    </row>
    <row r="2310" spans="2:2" x14ac:dyDescent="0.25">
      <c r="B2310" s="1"/>
    </row>
    <row r="2311" spans="2:2" x14ac:dyDescent="0.25">
      <c r="B2311" s="1"/>
    </row>
    <row r="2312" spans="2:2" x14ac:dyDescent="0.25">
      <c r="B2312" s="1"/>
    </row>
    <row r="2313" spans="2:2" x14ac:dyDescent="0.25">
      <c r="B2313" s="1"/>
    </row>
    <row r="2314" spans="2:2" x14ac:dyDescent="0.25">
      <c r="B2314" s="1"/>
    </row>
    <row r="2315" spans="2:2" x14ac:dyDescent="0.25">
      <c r="B2315" s="1"/>
    </row>
    <row r="2316" spans="2:2" x14ac:dyDescent="0.25">
      <c r="B2316" s="1"/>
    </row>
    <row r="2317" spans="2:2" x14ac:dyDescent="0.25">
      <c r="B2317" s="1"/>
    </row>
    <row r="2318" spans="2:2" x14ac:dyDescent="0.25">
      <c r="B2318" s="1"/>
    </row>
    <row r="2319" spans="2:2" x14ac:dyDescent="0.25">
      <c r="B2319" s="1"/>
    </row>
    <row r="2320" spans="2:2" x14ac:dyDescent="0.25">
      <c r="B2320" s="1"/>
    </row>
    <row r="2321" spans="2:2" x14ac:dyDescent="0.25">
      <c r="B2321" s="1"/>
    </row>
    <row r="2322" spans="2:2" x14ac:dyDescent="0.25">
      <c r="B2322" s="1"/>
    </row>
    <row r="2323" spans="2:2" x14ac:dyDescent="0.25">
      <c r="B2323" s="1"/>
    </row>
    <row r="2324" spans="2:2" x14ac:dyDescent="0.25">
      <c r="B2324" s="1"/>
    </row>
    <row r="2325" spans="2:2" x14ac:dyDescent="0.25">
      <c r="B2325" s="1"/>
    </row>
    <row r="2326" spans="2:2" x14ac:dyDescent="0.25">
      <c r="B2326" s="1"/>
    </row>
    <row r="2327" spans="2:2" x14ac:dyDescent="0.25">
      <c r="B2327" s="1"/>
    </row>
    <row r="2328" spans="2:2" x14ac:dyDescent="0.25">
      <c r="B2328" s="1"/>
    </row>
    <row r="2329" spans="2:2" x14ac:dyDescent="0.25">
      <c r="B2329" s="1"/>
    </row>
    <row r="2330" spans="2:2" x14ac:dyDescent="0.25">
      <c r="B2330" s="1"/>
    </row>
    <row r="2331" spans="2:2" x14ac:dyDescent="0.25">
      <c r="B2331" s="1"/>
    </row>
    <row r="2332" spans="2:2" x14ac:dyDescent="0.25">
      <c r="B2332" s="1"/>
    </row>
    <row r="2333" spans="2:2" x14ac:dyDescent="0.25">
      <c r="B2333" s="1"/>
    </row>
    <row r="2334" spans="2:2" x14ac:dyDescent="0.25">
      <c r="B2334" s="1"/>
    </row>
    <row r="2335" spans="2:2" x14ac:dyDescent="0.25">
      <c r="B2335" s="1"/>
    </row>
    <row r="2336" spans="2:2" x14ac:dyDescent="0.25">
      <c r="B2336" s="1"/>
    </row>
    <row r="2337" spans="2:2" x14ac:dyDescent="0.25">
      <c r="B2337" s="1"/>
    </row>
    <row r="2338" spans="2:2" x14ac:dyDescent="0.25">
      <c r="B2338" s="1"/>
    </row>
    <row r="2339" spans="2:2" x14ac:dyDescent="0.25">
      <c r="B2339" s="1"/>
    </row>
    <row r="2340" spans="2:2" x14ac:dyDescent="0.25">
      <c r="B2340" s="1"/>
    </row>
    <row r="2341" spans="2:2" x14ac:dyDescent="0.25">
      <c r="B2341" s="1"/>
    </row>
    <row r="2342" spans="2:2" x14ac:dyDescent="0.25">
      <c r="B2342" s="1"/>
    </row>
    <row r="2343" spans="2:2" x14ac:dyDescent="0.25">
      <c r="B2343" s="1"/>
    </row>
    <row r="2344" spans="2:2" x14ac:dyDescent="0.25">
      <c r="B2344" s="1"/>
    </row>
    <row r="2345" spans="2:2" x14ac:dyDescent="0.25">
      <c r="B2345" s="1"/>
    </row>
    <row r="2346" spans="2:2" x14ac:dyDescent="0.25">
      <c r="B2346" s="1"/>
    </row>
    <row r="2347" spans="2:2" x14ac:dyDescent="0.25">
      <c r="B2347" s="1"/>
    </row>
    <row r="2348" spans="2:2" x14ac:dyDescent="0.25">
      <c r="B2348" s="1"/>
    </row>
    <row r="2349" spans="2:2" x14ac:dyDescent="0.25">
      <c r="B2349" s="1"/>
    </row>
    <row r="2350" spans="2:2" x14ac:dyDescent="0.25">
      <c r="B2350" s="1"/>
    </row>
    <row r="2351" spans="2:2" x14ac:dyDescent="0.25">
      <c r="B2351" s="1"/>
    </row>
    <row r="2352" spans="2:2" x14ac:dyDescent="0.25">
      <c r="B2352" s="1"/>
    </row>
    <row r="2353" spans="2:2" x14ac:dyDescent="0.25">
      <c r="B2353" s="1"/>
    </row>
    <row r="2354" spans="2:2" x14ac:dyDescent="0.25">
      <c r="B2354" s="1"/>
    </row>
    <row r="2355" spans="2:2" x14ac:dyDescent="0.25">
      <c r="B2355" s="1"/>
    </row>
    <row r="2356" spans="2:2" x14ac:dyDescent="0.25">
      <c r="B2356" s="1"/>
    </row>
    <row r="2357" spans="2:2" x14ac:dyDescent="0.25">
      <c r="B2357" s="1"/>
    </row>
    <row r="2358" spans="2:2" x14ac:dyDescent="0.25">
      <c r="B2358" s="1"/>
    </row>
    <row r="2359" spans="2:2" x14ac:dyDescent="0.25">
      <c r="B2359" s="1"/>
    </row>
    <row r="2360" spans="2:2" x14ac:dyDescent="0.25">
      <c r="B2360" s="1"/>
    </row>
    <row r="2361" spans="2:2" x14ac:dyDescent="0.25">
      <c r="B2361" s="1"/>
    </row>
    <row r="2362" spans="2:2" x14ac:dyDescent="0.25">
      <c r="B2362" s="1"/>
    </row>
    <row r="2363" spans="2:2" x14ac:dyDescent="0.25">
      <c r="B2363" s="1"/>
    </row>
    <row r="2364" spans="2:2" x14ac:dyDescent="0.25">
      <c r="B2364" s="1"/>
    </row>
    <row r="2365" spans="2:2" x14ac:dyDescent="0.25">
      <c r="B2365" s="1"/>
    </row>
    <row r="2366" spans="2:2" x14ac:dyDescent="0.25">
      <c r="B2366" s="1"/>
    </row>
    <row r="2367" spans="2:2" x14ac:dyDescent="0.25">
      <c r="B2367" s="1"/>
    </row>
    <row r="2368" spans="2:2" x14ac:dyDescent="0.25">
      <c r="B2368" s="1"/>
    </row>
    <row r="2369" spans="2:2" x14ac:dyDescent="0.25">
      <c r="B2369" s="1"/>
    </row>
    <row r="2370" spans="2:2" x14ac:dyDescent="0.25">
      <c r="B2370" s="1"/>
    </row>
    <row r="2371" spans="2:2" x14ac:dyDescent="0.25">
      <c r="B2371" s="1"/>
    </row>
    <row r="2372" spans="2:2" x14ac:dyDescent="0.25">
      <c r="B2372" s="1"/>
    </row>
    <row r="2373" spans="2:2" x14ac:dyDescent="0.25">
      <c r="B2373" s="1"/>
    </row>
    <row r="2374" spans="2:2" x14ac:dyDescent="0.25">
      <c r="B2374" s="1"/>
    </row>
    <row r="2375" spans="2:2" x14ac:dyDescent="0.25">
      <c r="B2375" s="1"/>
    </row>
    <row r="2376" spans="2:2" x14ac:dyDescent="0.25">
      <c r="B2376" s="1"/>
    </row>
    <row r="2377" spans="2:2" x14ac:dyDescent="0.25">
      <c r="B2377" s="1"/>
    </row>
    <row r="2378" spans="2:2" x14ac:dyDescent="0.25">
      <c r="B2378" s="1"/>
    </row>
    <row r="2379" spans="2:2" x14ac:dyDescent="0.25">
      <c r="B2379" s="1"/>
    </row>
    <row r="2380" spans="2:2" x14ac:dyDescent="0.25">
      <c r="B2380" s="1"/>
    </row>
    <row r="2381" spans="2:2" x14ac:dyDescent="0.25">
      <c r="B2381" s="1"/>
    </row>
    <row r="2382" spans="2:2" x14ac:dyDescent="0.25">
      <c r="B2382" s="1"/>
    </row>
    <row r="2383" spans="2:2" x14ac:dyDescent="0.25">
      <c r="B2383" s="1"/>
    </row>
    <row r="2384" spans="2:2" x14ac:dyDescent="0.25">
      <c r="B2384" s="1"/>
    </row>
    <row r="2385" spans="2:2" x14ac:dyDescent="0.25">
      <c r="B2385" s="1"/>
    </row>
    <row r="2386" spans="2:2" x14ac:dyDescent="0.25">
      <c r="B2386" s="1"/>
    </row>
    <row r="2387" spans="2:2" x14ac:dyDescent="0.25">
      <c r="B2387" s="1"/>
    </row>
    <row r="2388" spans="2:2" x14ac:dyDescent="0.25">
      <c r="B2388" s="1"/>
    </row>
    <row r="2389" spans="2:2" x14ac:dyDescent="0.25">
      <c r="B2389" s="1"/>
    </row>
    <row r="2390" spans="2:2" x14ac:dyDescent="0.25">
      <c r="B2390" s="1"/>
    </row>
    <row r="2391" spans="2:2" x14ac:dyDescent="0.25">
      <c r="B2391" s="1"/>
    </row>
    <row r="2392" spans="2:2" x14ac:dyDescent="0.25">
      <c r="B2392" s="1"/>
    </row>
    <row r="2393" spans="2:2" x14ac:dyDescent="0.25">
      <c r="B2393" s="1"/>
    </row>
    <row r="2394" spans="2:2" x14ac:dyDescent="0.25">
      <c r="B2394" s="1"/>
    </row>
    <row r="2395" spans="2:2" x14ac:dyDescent="0.25">
      <c r="B2395" s="1"/>
    </row>
    <row r="2396" spans="2:2" x14ac:dyDescent="0.25">
      <c r="B2396" s="1"/>
    </row>
    <row r="2397" spans="2:2" x14ac:dyDescent="0.25">
      <c r="B2397" s="1"/>
    </row>
    <row r="2398" spans="2:2" x14ac:dyDescent="0.25">
      <c r="B2398" s="1"/>
    </row>
    <row r="2399" spans="2:2" x14ac:dyDescent="0.25">
      <c r="B2399" s="1"/>
    </row>
    <row r="2400" spans="2:2" x14ac:dyDescent="0.25">
      <c r="B2400" s="1"/>
    </row>
    <row r="2401" spans="2:2" x14ac:dyDescent="0.25">
      <c r="B2401" s="1"/>
    </row>
    <row r="2402" spans="2:2" x14ac:dyDescent="0.25">
      <c r="B2402" s="1"/>
    </row>
    <row r="2403" spans="2:2" x14ac:dyDescent="0.25">
      <c r="B2403" s="1"/>
    </row>
    <row r="2404" spans="2:2" x14ac:dyDescent="0.25">
      <c r="B2404" s="1"/>
    </row>
    <row r="2405" spans="2:2" x14ac:dyDescent="0.25">
      <c r="B2405" s="1"/>
    </row>
    <row r="2406" spans="2:2" x14ac:dyDescent="0.25">
      <c r="B2406" s="1"/>
    </row>
    <row r="2407" spans="2:2" x14ac:dyDescent="0.25">
      <c r="B2407" s="1"/>
    </row>
    <row r="2408" spans="2:2" x14ac:dyDescent="0.25">
      <c r="B2408" s="1"/>
    </row>
    <row r="2409" spans="2:2" x14ac:dyDescent="0.25">
      <c r="B2409" s="1"/>
    </row>
    <row r="2410" spans="2:2" x14ac:dyDescent="0.25">
      <c r="B2410" s="1"/>
    </row>
    <row r="2411" spans="2:2" x14ac:dyDescent="0.25">
      <c r="B2411" s="1"/>
    </row>
    <row r="2412" spans="2:2" x14ac:dyDescent="0.25">
      <c r="B2412" s="1"/>
    </row>
    <row r="2413" spans="2:2" x14ac:dyDescent="0.25">
      <c r="B2413" s="1"/>
    </row>
    <row r="2414" spans="2:2" x14ac:dyDescent="0.25">
      <c r="B2414" s="1"/>
    </row>
    <row r="2415" spans="2:2" x14ac:dyDescent="0.25">
      <c r="B2415" s="1"/>
    </row>
    <row r="2416" spans="2:2" x14ac:dyDescent="0.25">
      <c r="B2416" s="1"/>
    </row>
    <row r="2417" spans="2:2" x14ac:dyDescent="0.25">
      <c r="B2417" s="1"/>
    </row>
    <row r="2418" spans="2:2" x14ac:dyDescent="0.25">
      <c r="B2418" s="1"/>
    </row>
    <row r="2419" spans="2:2" x14ac:dyDescent="0.25">
      <c r="B2419" s="1"/>
    </row>
    <row r="2420" spans="2:2" x14ac:dyDescent="0.25">
      <c r="B2420" s="1"/>
    </row>
    <row r="2421" spans="2:2" x14ac:dyDescent="0.25">
      <c r="B2421" s="1"/>
    </row>
    <row r="2422" spans="2:2" x14ac:dyDescent="0.25">
      <c r="B2422" s="1"/>
    </row>
    <row r="2423" spans="2:2" x14ac:dyDescent="0.25">
      <c r="B2423" s="1"/>
    </row>
    <row r="2424" spans="2:2" x14ac:dyDescent="0.25">
      <c r="B2424" s="1"/>
    </row>
    <row r="2425" spans="2:2" x14ac:dyDescent="0.25">
      <c r="B2425" s="1"/>
    </row>
    <row r="2426" spans="2:2" x14ac:dyDescent="0.25">
      <c r="B2426" s="1"/>
    </row>
    <row r="2427" spans="2:2" x14ac:dyDescent="0.25">
      <c r="B2427" s="1"/>
    </row>
    <row r="2428" spans="2:2" x14ac:dyDescent="0.25">
      <c r="B2428" s="1"/>
    </row>
    <row r="2429" spans="2:2" x14ac:dyDescent="0.25">
      <c r="B2429" s="1"/>
    </row>
    <row r="2430" spans="2:2" x14ac:dyDescent="0.25">
      <c r="B2430" s="1"/>
    </row>
    <row r="2431" spans="2:2" x14ac:dyDescent="0.25">
      <c r="B2431" s="1"/>
    </row>
    <row r="2432" spans="2:2" x14ac:dyDescent="0.25">
      <c r="B2432" s="1"/>
    </row>
    <row r="2433" spans="2:2" x14ac:dyDescent="0.25">
      <c r="B2433" s="1"/>
    </row>
    <row r="2434" spans="2:2" x14ac:dyDescent="0.25">
      <c r="B2434" s="1"/>
    </row>
    <row r="2435" spans="2:2" x14ac:dyDescent="0.25">
      <c r="B2435" s="1"/>
    </row>
    <row r="2436" spans="2:2" x14ac:dyDescent="0.25">
      <c r="B2436" s="1"/>
    </row>
    <row r="2437" spans="2:2" x14ac:dyDescent="0.25">
      <c r="B2437" s="1"/>
    </row>
    <row r="2438" spans="2:2" x14ac:dyDescent="0.25">
      <c r="B2438" s="1"/>
    </row>
    <row r="2439" spans="2:2" x14ac:dyDescent="0.25">
      <c r="B2439" s="1"/>
    </row>
    <row r="2440" spans="2:2" x14ac:dyDescent="0.25">
      <c r="B2440" s="1"/>
    </row>
    <row r="2441" spans="2:2" x14ac:dyDescent="0.25">
      <c r="B2441" s="1"/>
    </row>
    <row r="2442" spans="2:2" x14ac:dyDescent="0.25">
      <c r="B2442" s="1"/>
    </row>
    <row r="2443" spans="2:2" x14ac:dyDescent="0.25">
      <c r="B2443" s="1"/>
    </row>
    <row r="2444" spans="2:2" x14ac:dyDescent="0.25">
      <c r="B2444" s="1"/>
    </row>
    <row r="2445" spans="2:2" x14ac:dyDescent="0.25">
      <c r="B2445" s="1"/>
    </row>
    <row r="2446" spans="2:2" x14ac:dyDescent="0.25">
      <c r="B2446" s="1"/>
    </row>
    <row r="2447" spans="2:2" x14ac:dyDescent="0.25">
      <c r="B2447" s="1"/>
    </row>
    <row r="2448" spans="2:2" x14ac:dyDescent="0.25">
      <c r="B2448" s="1"/>
    </row>
    <row r="2449" spans="2:2" x14ac:dyDescent="0.25">
      <c r="B2449" s="1"/>
    </row>
    <row r="2450" spans="2:2" x14ac:dyDescent="0.25">
      <c r="B2450" s="1"/>
    </row>
    <row r="2451" spans="2:2" x14ac:dyDescent="0.25">
      <c r="B2451" s="1"/>
    </row>
    <row r="2452" spans="2:2" x14ac:dyDescent="0.25">
      <c r="B2452" s="1"/>
    </row>
    <row r="2453" spans="2:2" x14ac:dyDescent="0.25">
      <c r="B2453" s="1"/>
    </row>
    <row r="2454" spans="2:2" x14ac:dyDescent="0.25">
      <c r="B2454" s="1"/>
    </row>
    <row r="2455" spans="2:2" x14ac:dyDescent="0.25">
      <c r="B2455" s="1"/>
    </row>
    <row r="2456" spans="2:2" x14ac:dyDescent="0.25">
      <c r="B2456" s="1"/>
    </row>
    <row r="2457" spans="2:2" x14ac:dyDescent="0.25">
      <c r="B2457" s="1"/>
    </row>
    <row r="2458" spans="2:2" x14ac:dyDescent="0.25">
      <c r="B2458" s="1"/>
    </row>
    <row r="2459" spans="2:2" x14ac:dyDescent="0.25">
      <c r="B2459" s="1"/>
    </row>
    <row r="2460" spans="2:2" x14ac:dyDescent="0.25">
      <c r="B2460" s="1"/>
    </row>
    <row r="2461" spans="2:2" x14ac:dyDescent="0.25">
      <c r="B2461" s="1"/>
    </row>
    <row r="2462" spans="2:2" x14ac:dyDescent="0.25">
      <c r="B2462" s="1"/>
    </row>
    <row r="2463" spans="2:2" x14ac:dyDescent="0.25">
      <c r="B2463" s="1"/>
    </row>
    <row r="2464" spans="2:2" x14ac:dyDescent="0.25">
      <c r="B2464" s="1"/>
    </row>
    <row r="2465" spans="2:2" x14ac:dyDescent="0.25">
      <c r="B2465" s="1"/>
    </row>
    <row r="2466" spans="2:2" x14ac:dyDescent="0.25">
      <c r="B2466" s="1"/>
    </row>
    <row r="2467" spans="2:2" x14ac:dyDescent="0.25">
      <c r="B2467" s="1"/>
    </row>
    <row r="2468" spans="2:2" x14ac:dyDescent="0.25">
      <c r="B2468" s="1"/>
    </row>
    <row r="2469" spans="2:2" x14ac:dyDescent="0.25">
      <c r="B2469" s="1"/>
    </row>
    <row r="2470" spans="2:2" x14ac:dyDescent="0.25">
      <c r="B2470" s="1"/>
    </row>
    <row r="2471" spans="2:2" x14ac:dyDescent="0.25">
      <c r="B2471" s="1"/>
    </row>
    <row r="2472" spans="2:2" x14ac:dyDescent="0.25">
      <c r="B2472" s="1"/>
    </row>
    <row r="2473" spans="2:2" x14ac:dyDescent="0.25">
      <c r="B2473" s="1"/>
    </row>
    <row r="2474" spans="2:2" x14ac:dyDescent="0.25">
      <c r="B2474" s="1"/>
    </row>
    <row r="2475" spans="2:2" x14ac:dyDescent="0.25">
      <c r="B2475" s="1"/>
    </row>
    <row r="2476" spans="2:2" x14ac:dyDescent="0.25">
      <c r="B2476" s="1"/>
    </row>
    <row r="2477" spans="2:2" x14ac:dyDescent="0.25">
      <c r="B2477" s="1"/>
    </row>
    <row r="2478" spans="2:2" x14ac:dyDescent="0.25">
      <c r="B2478" s="1"/>
    </row>
    <row r="2479" spans="2:2" x14ac:dyDescent="0.25">
      <c r="B2479" s="1"/>
    </row>
    <row r="2480" spans="2:2" x14ac:dyDescent="0.25">
      <c r="B2480" s="1"/>
    </row>
    <row r="2481" spans="2:2" x14ac:dyDescent="0.25">
      <c r="B2481" s="1"/>
    </row>
    <row r="2482" spans="2:2" x14ac:dyDescent="0.25">
      <c r="B2482" s="1"/>
    </row>
    <row r="2483" spans="2:2" x14ac:dyDescent="0.25">
      <c r="B2483" s="1"/>
    </row>
    <row r="2484" spans="2:2" x14ac:dyDescent="0.25">
      <c r="B2484" s="1"/>
    </row>
    <row r="2485" spans="2:2" x14ac:dyDescent="0.25">
      <c r="B2485" s="1"/>
    </row>
    <row r="2486" spans="2:2" x14ac:dyDescent="0.25">
      <c r="B2486" s="1"/>
    </row>
    <row r="2487" spans="2:2" x14ac:dyDescent="0.25">
      <c r="B2487" s="1"/>
    </row>
    <row r="2488" spans="2:2" x14ac:dyDescent="0.25">
      <c r="B2488" s="1"/>
    </row>
    <row r="2489" spans="2:2" x14ac:dyDescent="0.25">
      <c r="B2489" s="1"/>
    </row>
    <row r="2490" spans="2:2" x14ac:dyDescent="0.25">
      <c r="B2490" s="1"/>
    </row>
    <row r="2491" spans="2:2" x14ac:dyDescent="0.25">
      <c r="B2491" s="1"/>
    </row>
    <row r="2492" spans="2:2" x14ac:dyDescent="0.25">
      <c r="B2492" s="1"/>
    </row>
    <row r="2493" spans="2:2" x14ac:dyDescent="0.25">
      <c r="B2493" s="1"/>
    </row>
    <row r="2494" spans="2:2" x14ac:dyDescent="0.25">
      <c r="B2494" s="1"/>
    </row>
    <row r="2495" spans="2:2" x14ac:dyDescent="0.25">
      <c r="B2495" s="1"/>
    </row>
    <row r="2496" spans="2:2" x14ac:dyDescent="0.25">
      <c r="B2496" s="1"/>
    </row>
    <row r="2497" spans="2:2" x14ac:dyDescent="0.25">
      <c r="B2497" s="1"/>
    </row>
    <row r="2498" spans="2:2" x14ac:dyDescent="0.25">
      <c r="B2498" s="1"/>
    </row>
    <row r="2499" spans="2:2" x14ac:dyDescent="0.25">
      <c r="B2499" s="1"/>
    </row>
    <row r="2500" spans="2:2" x14ac:dyDescent="0.25">
      <c r="B2500" s="1"/>
    </row>
    <row r="2501" spans="2:2" x14ac:dyDescent="0.25">
      <c r="B2501" s="1"/>
    </row>
    <row r="2502" spans="2:2" x14ac:dyDescent="0.25">
      <c r="B2502" s="1"/>
    </row>
    <row r="2503" spans="2:2" x14ac:dyDescent="0.25">
      <c r="B2503" s="1"/>
    </row>
    <row r="2504" spans="2:2" x14ac:dyDescent="0.25">
      <c r="B2504" s="1"/>
    </row>
    <row r="2505" spans="2:2" x14ac:dyDescent="0.25">
      <c r="B2505" s="1"/>
    </row>
    <row r="2506" spans="2:2" x14ac:dyDescent="0.25">
      <c r="B2506" s="1"/>
    </row>
    <row r="2507" spans="2:2" x14ac:dyDescent="0.25">
      <c r="B2507" s="1"/>
    </row>
    <row r="2508" spans="2:2" x14ac:dyDescent="0.25">
      <c r="B2508" s="1"/>
    </row>
    <row r="2509" spans="2:2" x14ac:dyDescent="0.25">
      <c r="B2509" s="1"/>
    </row>
    <row r="2510" spans="2:2" x14ac:dyDescent="0.25">
      <c r="B2510" s="1"/>
    </row>
    <row r="2511" spans="2:2" x14ac:dyDescent="0.25">
      <c r="B2511" s="1"/>
    </row>
    <row r="2512" spans="2:2" x14ac:dyDescent="0.25">
      <c r="B2512" s="1"/>
    </row>
    <row r="2513" spans="2:2" x14ac:dyDescent="0.25">
      <c r="B2513" s="1"/>
    </row>
    <row r="2514" spans="2:2" x14ac:dyDescent="0.25">
      <c r="B2514" s="1"/>
    </row>
    <row r="2515" spans="2:2" x14ac:dyDescent="0.25">
      <c r="B2515" s="1"/>
    </row>
    <row r="2516" spans="2:2" x14ac:dyDescent="0.25">
      <c r="B2516" s="1"/>
    </row>
    <row r="2517" spans="2:2" x14ac:dyDescent="0.25">
      <c r="B2517" s="1"/>
    </row>
    <row r="2518" spans="2:2" x14ac:dyDescent="0.25">
      <c r="B2518" s="1"/>
    </row>
    <row r="2519" spans="2:2" x14ac:dyDescent="0.25">
      <c r="B2519" s="1"/>
    </row>
    <row r="2520" spans="2:2" x14ac:dyDescent="0.25">
      <c r="B2520" s="1"/>
    </row>
    <row r="2521" spans="2:2" x14ac:dyDescent="0.25">
      <c r="B2521" s="1"/>
    </row>
    <row r="2522" spans="2:2" x14ac:dyDescent="0.25">
      <c r="B2522" s="1"/>
    </row>
    <row r="2523" spans="2:2" x14ac:dyDescent="0.25">
      <c r="B2523" s="1"/>
    </row>
    <row r="2524" spans="2:2" x14ac:dyDescent="0.25">
      <c r="B2524" s="1"/>
    </row>
    <row r="2525" spans="2:2" x14ac:dyDescent="0.25">
      <c r="B2525" s="1"/>
    </row>
    <row r="2526" spans="2:2" x14ac:dyDescent="0.25">
      <c r="B2526" s="1"/>
    </row>
    <row r="2527" spans="2:2" x14ac:dyDescent="0.25">
      <c r="B2527" s="1"/>
    </row>
    <row r="2528" spans="2:2" x14ac:dyDescent="0.25">
      <c r="B2528" s="1"/>
    </row>
    <row r="2529" spans="2:2" x14ac:dyDescent="0.25">
      <c r="B2529" s="1"/>
    </row>
    <row r="2530" spans="2:2" x14ac:dyDescent="0.25">
      <c r="B2530" s="1"/>
    </row>
    <row r="2531" spans="2:2" x14ac:dyDescent="0.25">
      <c r="B2531" s="1"/>
    </row>
    <row r="2532" spans="2:2" x14ac:dyDescent="0.25">
      <c r="B2532" s="1"/>
    </row>
    <row r="2533" spans="2:2" x14ac:dyDescent="0.25">
      <c r="B2533" s="1"/>
    </row>
    <row r="2534" spans="2:2" x14ac:dyDescent="0.25">
      <c r="B2534" s="1"/>
    </row>
    <row r="2535" spans="2:2" x14ac:dyDescent="0.25">
      <c r="B2535" s="1"/>
    </row>
    <row r="2536" spans="2:2" x14ac:dyDescent="0.25">
      <c r="B2536" s="1"/>
    </row>
    <row r="2537" spans="2:2" x14ac:dyDescent="0.25">
      <c r="B2537" s="1"/>
    </row>
    <row r="2538" spans="2:2" x14ac:dyDescent="0.25">
      <c r="B2538" s="1"/>
    </row>
    <row r="2539" spans="2:2" x14ac:dyDescent="0.25">
      <c r="B2539" s="1"/>
    </row>
    <row r="2540" spans="2:2" x14ac:dyDescent="0.25">
      <c r="B2540" s="1"/>
    </row>
    <row r="2541" spans="2:2" x14ac:dyDescent="0.25">
      <c r="B2541" s="1"/>
    </row>
    <row r="2542" spans="2:2" x14ac:dyDescent="0.25">
      <c r="B2542" s="1"/>
    </row>
    <row r="2543" spans="2:2" x14ac:dyDescent="0.25">
      <c r="B2543" s="1"/>
    </row>
    <row r="2544" spans="2:2" x14ac:dyDescent="0.25">
      <c r="B2544" s="1"/>
    </row>
    <row r="2545" spans="2:2" x14ac:dyDescent="0.25">
      <c r="B2545" s="1"/>
    </row>
    <row r="2546" spans="2:2" x14ac:dyDescent="0.25">
      <c r="B2546" s="1"/>
    </row>
    <row r="2547" spans="2:2" x14ac:dyDescent="0.25">
      <c r="B2547" s="1"/>
    </row>
    <row r="2548" spans="2:2" x14ac:dyDescent="0.25">
      <c r="B2548" s="1"/>
    </row>
    <row r="2549" spans="2:2" x14ac:dyDescent="0.25">
      <c r="B2549" s="1"/>
    </row>
    <row r="2550" spans="2:2" x14ac:dyDescent="0.25">
      <c r="B2550" s="1"/>
    </row>
    <row r="2551" spans="2:2" x14ac:dyDescent="0.25">
      <c r="B2551" s="1"/>
    </row>
    <row r="2552" spans="2:2" x14ac:dyDescent="0.25">
      <c r="B2552" s="1"/>
    </row>
    <row r="2553" spans="2:2" x14ac:dyDescent="0.25">
      <c r="B2553" s="1"/>
    </row>
    <row r="2554" spans="2:2" x14ac:dyDescent="0.25">
      <c r="B2554" s="1"/>
    </row>
    <row r="2555" spans="2:2" x14ac:dyDescent="0.25">
      <c r="B2555" s="1"/>
    </row>
    <row r="2556" spans="2:2" x14ac:dyDescent="0.25">
      <c r="B2556" s="1"/>
    </row>
    <row r="2557" spans="2:2" x14ac:dyDescent="0.25">
      <c r="B2557" s="1"/>
    </row>
    <row r="2558" spans="2:2" x14ac:dyDescent="0.25">
      <c r="B2558" s="1"/>
    </row>
    <row r="2559" spans="2:2" x14ac:dyDescent="0.25">
      <c r="B2559" s="1"/>
    </row>
    <row r="2560" spans="2:2" x14ac:dyDescent="0.25">
      <c r="B2560" s="1"/>
    </row>
    <row r="2561" spans="2:2" x14ac:dyDescent="0.25">
      <c r="B2561" s="1"/>
    </row>
    <row r="2562" spans="2:2" x14ac:dyDescent="0.25">
      <c r="B2562" s="1"/>
    </row>
    <row r="2563" spans="2:2" x14ac:dyDescent="0.25">
      <c r="B2563" s="1"/>
    </row>
    <row r="2564" spans="2:2" x14ac:dyDescent="0.25">
      <c r="B2564" s="1"/>
    </row>
    <row r="2565" spans="2:2" x14ac:dyDescent="0.25">
      <c r="B2565" s="1"/>
    </row>
    <row r="2566" spans="2:2" x14ac:dyDescent="0.25">
      <c r="B2566" s="1"/>
    </row>
    <row r="2567" spans="2:2" x14ac:dyDescent="0.25">
      <c r="B2567" s="1"/>
    </row>
    <row r="2568" spans="2:2" x14ac:dyDescent="0.25">
      <c r="B2568" s="1"/>
    </row>
    <row r="2569" spans="2:2" x14ac:dyDescent="0.25">
      <c r="B2569" s="1"/>
    </row>
    <row r="2570" spans="2:2" x14ac:dyDescent="0.25">
      <c r="B2570" s="1"/>
    </row>
    <row r="2571" spans="2:2" x14ac:dyDescent="0.25">
      <c r="B2571" s="1"/>
    </row>
    <row r="2572" spans="2:2" x14ac:dyDescent="0.25">
      <c r="B2572" s="1"/>
    </row>
    <row r="2573" spans="2:2" x14ac:dyDescent="0.25">
      <c r="B2573" s="1"/>
    </row>
    <row r="2574" spans="2:2" x14ac:dyDescent="0.25">
      <c r="B2574" s="1"/>
    </row>
    <row r="2575" spans="2:2" x14ac:dyDescent="0.25">
      <c r="B2575" s="1"/>
    </row>
    <row r="2576" spans="2:2" x14ac:dyDescent="0.25">
      <c r="B2576" s="1"/>
    </row>
    <row r="2577" spans="2:2" x14ac:dyDescent="0.25">
      <c r="B2577" s="1"/>
    </row>
    <row r="2578" spans="2:2" x14ac:dyDescent="0.25">
      <c r="B2578" s="1"/>
    </row>
    <row r="2579" spans="2:2" x14ac:dyDescent="0.25">
      <c r="B2579" s="1"/>
    </row>
    <row r="2580" spans="2:2" x14ac:dyDescent="0.25">
      <c r="B2580" s="1"/>
    </row>
    <row r="2581" spans="2:2" x14ac:dyDescent="0.25">
      <c r="B2581" s="1"/>
    </row>
    <row r="2582" spans="2:2" x14ac:dyDescent="0.25">
      <c r="B2582" s="1"/>
    </row>
    <row r="2583" spans="2:2" x14ac:dyDescent="0.25">
      <c r="B2583" s="1"/>
    </row>
    <row r="2584" spans="2:2" x14ac:dyDescent="0.25">
      <c r="B2584" s="1"/>
    </row>
    <row r="2585" spans="2:2" x14ac:dyDescent="0.25">
      <c r="B2585" s="1"/>
    </row>
    <row r="2586" spans="2:2" x14ac:dyDescent="0.25">
      <c r="B2586" s="1"/>
    </row>
    <row r="2587" spans="2:2" x14ac:dyDescent="0.25">
      <c r="B2587" s="1"/>
    </row>
    <row r="2588" spans="2:2" x14ac:dyDescent="0.25">
      <c r="B2588" s="1"/>
    </row>
    <row r="2589" spans="2:2" x14ac:dyDescent="0.25">
      <c r="B2589" s="1"/>
    </row>
    <row r="2590" spans="2:2" x14ac:dyDescent="0.25">
      <c r="B2590" s="1"/>
    </row>
    <row r="2591" spans="2:2" x14ac:dyDescent="0.25">
      <c r="B2591" s="1"/>
    </row>
    <row r="2592" spans="2:2" x14ac:dyDescent="0.25">
      <c r="B2592" s="1"/>
    </row>
    <row r="2593" spans="2:2" x14ac:dyDescent="0.25">
      <c r="B2593" s="1"/>
    </row>
    <row r="2594" spans="2:2" x14ac:dyDescent="0.25">
      <c r="B2594" s="1"/>
    </row>
    <row r="2595" spans="2:2" x14ac:dyDescent="0.25">
      <c r="B2595" s="1"/>
    </row>
    <row r="2596" spans="2:2" x14ac:dyDescent="0.25">
      <c r="B2596" s="1"/>
    </row>
    <row r="2597" spans="2:2" x14ac:dyDescent="0.25">
      <c r="B2597" s="1"/>
    </row>
    <row r="2598" spans="2:2" x14ac:dyDescent="0.25">
      <c r="B2598" s="1"/>
    </row>
    <row r="2599" spans="2:2" x14ac:dyDescent="0.25">
      <c r="B2599" s="1"/>
    </row>
    <row r="2600" spans="2:2" x14ac:dyDescent="0.25">
      <c r="B2600" s="1"/>
    </row>
    <row r="2601" spans="2:2" x14ac:dyDescent="0.25">
      <c r="B2601" s="1"/>
    </row>
    <row r="2602" spans="2:2" x14ac:dyDescent="0.25">
      <c r="B2602" s="1"/>
    </row>
    <row r="2603" spans="2:2" x14ac:dyDescent="0.25">
      <c r="B2603" s="1"/>
    </row>
    <row r="2604" spans="2:2" x14ac:dyDescent="0.25">
      <c r="B2604" s="1"/>
    </row>
    <row r="2605" spans="2:2" x14ac:dyDescent="0.25">
      <c r="B2605" s="1"/>
    </row>
    <row r="2606" spans="2:2" x14ac:dyDescent="0.25">
      <c r="B2606" s="1"/>
    </row>
    <row r="2607" spans="2:2" x14ac:dyDescent="0.25">
      <c r="B2607" s="1"/>
    </row>
    <row r="2608" spans="2:2" x14ac:dyDescent="0.25">
      <c r="B2608" s="1"/>
    </row>
    <row r="2609" spans="2:2" x14ac:dyDescent="0.25">
      <c r="B2609" s="1"/>
    </row>
    <row r="2610" spans="2:2" x14ac:dyDescent="0.25">
      <c r="B2610" s="1"/>
    </row>
    <row r="2611" spans="2:2" x14ac:dyDescent="0.25">
      <c r="B2611" s="1"/>
    </row>
    <row r="2612" spans="2:2" x14ac:dyDescent="0.25">
      <c r="B2612" s="1"/>
    </row>
    <row r="2613" spans="2:2" x14ac:dyDescent="0.25">
      <c r="B2613" s="1"/>
    </row>
    <row r="2614" spans="2:2" x14ac:dyDescent="0.25">
      <c r="B2614" s="1"/>
    </row>
    <row r="2615" spans="2:2" x14ac:dyDescent="0.25">
      <c r="B2615" s="1"/>
    </row>
    <row r="2616" spans="2:2" x14ac:dyDescent="0.25">
      <c r="B2616" s="1"/>
    </row>
    <row r="2617" spans="2:2" x14ac:dyDescent="0.25">
      <c r="B2617" s="1"/>
    </row>
    <row r="2618" spans="2:2" x14ac:dyDescent="0.25">
      <c r="B2618" s="1"/>
    </row>
    <row r="2619" spans="2:2" x14ac:dyDescent="0.25">
      <c r="B2619" s="1"/>
    </row>
    <row r="2620" spans="2:2" x14ac:dyDescent="0.25">
      <c r="B2620" s="1"/>
    </row>
    <row r="2621" spans="2:2" x14ac:dyDescent="0.25">
      <c r="B2621" s="1"/>
    </row>
    <row r="2622" spans="2:2" x14ac:dyDescent="0.25">
      <c r="B2622" s="1"/>
    </row>
    <row r="2623" spans="2:2" x14ac:dyDescent="0.25">
      <c r="B2623" s="1"/>
    </row>
    <row r="2624" spans="2:2" x14ac:dyDescent="0.25">
      <c r="B2624" s="1"/>
    </row>
    <row r="2625" spans="2:2" x14ac:dyDescent="0.25">
      <c r="B2625" s="1"/>
    </row>
    <row r="2626" spans="2:2" x14ac:dyDescent="0.25">
      <c r="B2626" s="1"/>
    </row>
    <row r="2627" spans="2:2" x14ac:dyDescent="0.25">
      <c r="B2627" s="1"/>
    </row>
    <row r="2628" spans="2:2" x14ac:dyDescent="0.25">
      <c r="B2628" s="1"/>
    </row>
    <row r="2629" spans="2:2" x14ac:dyDescent="0.25">
      <c r="B2629" s="1"/>
    </row>
    <row r="2630" spans="2:2" x14ac:dyDescent="0.25">
      <c r="B2630" s="1"/>
    </row>
    <row r="2631" spans="2:2" x14ac:dyDescent="0.25">
      <c r="B2631" s="1"/>
    </row>
    <row r="2632" spans="2:2" x14ac:dyDescent="0.25">
      <c r="B2632" s="1"/>
    </row>
    <row r="2633" spans="2:2" x14ac:dyDescent="0.25">
      <c r="B2633" s="1"/>
    </row>
    <row r="2634" spans="2:2" x14ac:dyDescent="0.25">
      <c r="B2634" s="1"/>
    </row>
    <row r="2635" spans="2:2" x14ac:dyDescent="0.25">
      <c r="B2635" s="1"/>
    </row>
    <row r="2636" spans="2:2" x14ac:dyDescent="0.25">
      <c r="B2636" s="1"/>
    </row>
    <row r="2637" spans="2:2" x14ac:dyDescent="0.25">
      <c r="B2637" s="1"/>
    </row>
    <row r="2638" spans="2:2" x14ac:dyDescent="0.25">
      <c r="B2638" s="1"/>
    </row>
    <row r="2639" spans="2:2" x14ac:dyDescent="0.25">
      <c r="B2639" s="1"/>
    </row>
    <row r="2640" spans="2:2" x14ac:dyDescent="0.25">
      <c r="B2640" s="1"/>
    </row>
    <row r="2641" spans="2:2" x14ac:dyDescent="0.25">
      <c r="B2641" s="1"/>
    </row>
    <row r="2642" spans="2:2" x14ac:dyDescent="0.25">
      <c r="B2642" s="1"/>
    </row>
    <row r="2643" spans="2:2" x14ac:dyDescent="0.25">
      <c r="B2643" s="1"/>
    </row>
    <row r="2644" spans="2:2" x14ac:dyDescent="0.25">
      <c r="B2644" s="1"/>
    </row>
    <row r="2645" spans="2:2" x14ac:dyDescent="0.25">
      <c r="B2645" s="1"/>
    </row>
    <row r="2646" spans="2:2" x14ac:dyDescent="0.25">
      <c r="B2646" s="1"/>
    </row>
    <row r="2647" spans="2:2" x14ac:dyDescent="0.25">
      <c r="B2647" s="1"/>
    </row>
    <row r="2648" spans="2:2" x14ac:dyDescent="0.25">
      <c r="B2648" s="1"/>
    </row>
    <row r="2649" spans="2:2" x14ac:dyDescent="0.25">
      <c r="B2649" s="1"/>
    </row>
    <row r="2650" spans="2:2" x14ac:dyDescent="0.25">
      <c r="B2650" s="1"/>
    </row>
    <row r="2651" spans="2:2" x14ac:dyDescent="0.25">
      <c r="B2651" s="1"/>
    </row>
    <row r="2652" spans="2:2" x14ac:dyDescent="0.25">
      <c r="B2652" s="1"/>
    </row>
    <row r="2653" spans="2:2" x14ac:dyDescent="0.25">
      <c r="B2653" s="1"/>
    </row>
    <row r="2654" spans="2:2" x14ac:dyDescent="0.25">
      <c r="B2654" s="1"/>
    </row>
    <row r="2655" spans="2:2" x14ac:dyDescent="0.25">
      <c r="B2655" s="1"/>
    </row>
    <row r="2656" spans="2:2" x14ac:dyDescent="0.25">
      <c r="B2656" s="1"/>
    </row>
    <row r="2657" spans="2:2" x14ac:dyDescent="0.25">
      <c r="B2657" s="1"/>
    </row>
    <row r="2658" spans="2:2" x14ac:dyDescent="0.25">
      <c r="B2658" s="1"/>
    </row>
    <row r="2659" spans="2:2" x14ac:dyDescent="0.25">
      <c r="B2659" s="1"/>
    </row>
    <row r="2660" spans="2:2" x14ac:dyDescent="0.25">
      <c r="B2660" s="1"/>
    </row>
    <row r="2661" spans="2:2" x14ac:dyDescent="0.25">
      <c r="B2661" s="1"/>
    </row>
    <row r="2662" spans="2:2" x14ac:dyDescent="0.25">
      <c r="B2662" s="1"/>
    </row>
    <row r="2663" spans="2:2" x14ac:dyDescent="0.25">
      <c r="B2663" s="1"/>
    </row>
    <row r="2664" spans="2:2" x14ac:dyDescent="0.25">
      <c r="B2664" s="1"/>
    </row>
    <row r="2665" spans="2:2" x14ac:dyDescent="0.25">
      <c r="B2665" s="1"/>
    </row>
    <row r="2666" spans="2:2" x14ac:dyDescent="0.25">
      <c r="B2666" s="1"/>
    </row>
    <row r="2667" spans="2:2" x14ac:dyDescent="0.25">
      <c r="B2667" s="1"/>
    </row>
    <row r="2668" spans="2:2" x14ac:dyDescent="0.25">
      <c r="B2668" s="1"/>
    </row>
    <row r="2669" spans="2:2" x14ac:dyDescent="0.25">
      <c r="B2669" s="1"/>
    </row>
    <row r="2670" spans="2:2" x14ac:dyDescent="0.25">
      <c r="B2670" s="1"/>
    </row>
    <row r="2671" spans="2:2" x14ac:dyDescent="0.25">
      <c r="B2671" s="1"/>
    </row>
    <row r="2672" spans="2:2" x14ac:dyDescent="0.25">
      <c r="B2672" s="1"/>
    </row>
    <row r="2673" spans="2:2" x14ac:dyDescent="0.25">
      <c r="B2673" s="1"/>
    </row>
    <row r="2674" spans="2:2" x14ac:dyDescent="0.25">
      <c r="B2674" s="1"/>
    </row>
    <row r="2675" spans="2:2" x14ac:dyDescent="0.25">
      <c r="B2675" s="1"/>
    </row>
    <row r="2676" spans="2:2" x14ac:dyDescent="0.25">
      <c r="B2676" s="1"/>
    </row>
    <row r="2677" spans="2:2" x14ac:dyDescent="0.25">
      <c r="B2677" s="1"/>
    </row>
    <row r="2678" spans="2:2" x14ac:dyDescent="0.25">
      <c r="B2678" s="1"/>
    </row>
    <row r="2679" spans="2:2" x14ac:dyDescent="0.25">
      <c r="B2679" s="1"/>
    </row>
    <row r="2680" spans="2:2" x14ac:dyDescent="0.25">
      <c r="B2680" s="1"/>
    </row>
    <row r="2681" spans="2:2" x14ac:dyDescent="0.25">
      <c r="B2681" s="1"/>
    </row>
    <row r="2682" spans="2:2" x14ac:dyDescent="0.25">
      <c r="B2682" s="1"/>
    </row>
    <row r="2683" spans="2:2" x14ac:dyDescent="0.25">
      <c r="B2683" s="1"/>
    </row>
    <row r="2684" spans="2:2" x14ac:dyDescent="0.25">
      <c r="B2684" s="1"/>
    </row>
    <row r="2685" spans="2:2" x14ac:dyDescent="0.25">
      <c r="B2685" s="1"/>
    </row>
    <row r="2686" spans="2:2" x14ac:dyDescent="0.25">
      <c r="B2686" s="1"/>
    </row>
    <row r="2687" spans="2:2" x14ac:dyDescent="0.25">
      <c r="B2687" s="1"/>
    </row>
    <row r="2688" spans="2:2" x14ac:dyDescent="0.25">
      <c r="B2688" s="1"/>
    </row>
    <row r="2689" spans="2:2" x14ac:dyDescent="0.25">
      <c r="B2689" s="1"/>
    </row>
    <row r="2690" spans="2:2" x14ac:dyDescent="0.25">
      <c r="B2690" s="1"/>
    </row>
    <row r="2691" spans="2:2" x14ac:dyDescent="0.25">
      <c r="B2691" s="1"/>
    </row>
    <row r="2692" spans="2:2" x14ac:dyDescent="0.25">
      <c r="B2692" s="1"/>
    </row>
    <row r="2693" spans="2:2" x14ac:dyDescent="0.25">
      <c r="B2693" s="1"/>
    </row>
    <row r="2694" spans="2:2" x14ac:dyDescent="0.25">
      <c r="B2694" s="1"/>
    </row>
    <row r="2695" spans="2:2" x14ac:dyDescent="0.25">
      <c r="B2695" s="1"/>
    </row>
    <row r="2696" spans="2:2" x14ac:dyDescent="0.25">
      <c r="B2696" s="1"/>
    </row>
    <row r="2697" spans="2:2" x14ac:dyDescent="0.25">
      <c r="B2697" s="1"/>
    </row>
    <row r="2698" spans="2:2" x14ac:dyDescent="0.25">
      <c r="B2698" s="1"/>
    </row>
    <row r="2699" spans="2:2" x14ac:dyDescent="0.25">
      <c r="B2699" s="1"/>
    </row>
    <row r="2700" spans="2:2" x14ac:dyDescent="0.25">
      <c r="B2700" s="1"/>
    </row>
    <row r="2701" spans="2:2" x14ac:dyDescent="0.25">
      <c r="B2701" s="1"/>
    </row>
    <row r="2702" spans="2:2" x14ac:dyDescent="0.25">
      <c r="B2702" s="1"/>
    </row>
    <row r="2703" spans="2:2" x14ac:dyDescent="0.25">
      <c r="B2703" s="1"/>
    </row>
    <row r="2704" spans="2:2" x14ac:dyDescent="0.25">
      <c r="B2704" s="1"/>
    </row>
    <row r="2705" spans="2:2" x14ac:dyDescent="0.25">
      <c r="B2705" s="1"/>
    </row>
    <row r="2706" spans="2:2" x14ac:dyDescent="0.25">
      <c r="B2706" s="1"/>
    </row>
    <row r="2707" spans="2:2" x14ac:dyDescent="0.25">
      <c r="B2707" s="1"/>
    </row>
    <row r="2708" spans="2:2" x14ac:dyDescent="0.25">
      <c r="B2708" s="1"/>
    </row>
    <row r="2709" spans="2:2" x14ac:dyDescent="0.25">
      <c r="B2709" s="1"/>
    </row>
    <row r="2710" spans="2:2" x14ac:dyDescent="0.25">
      <c r="B2710" s="1"/>
    </row>
    <row r="2711" spans="2:2" x14ac:dyDescent="0.25">
      <c r="B2711" s="1"/>
    </row>
    <row r="2712" spans="2:2" x14ac:dyDescent="0.25">
      <c r="B2712" s="1"/>
    </row>
    <row r="2713" spans="2:2" x14ac:dyDescent="0.25">
      <c r="B2713" s="1"/>
    </row>
    <row r="2714" spans="2:2" x14ac:dyDescent="0.25">
      <c r="B2714" s="1"/>
    </row>
    <row r="2715" spans="2:2" x14ac:dyDescent="0.25">
      <c r="B2715" s="1"/>
    </row>
    <row r="2716" spans="2:2" x14ac:dyDescent="0.25">
      <c r="B2716" s="1"/>
    </row>
    <row r="2717" spans="2:2" x14ac:dyDescent="0.25">
      <c r="B2717" s="1"/>
    </row>
    <row r="2718" spans="2:2" x14ac:dyDescent="0.25">
      <c r="B2718" s="1"/>
    </row>
    <row r="2719" spans="2:2" x14ac:dyDescent="0.25">
      <c r="B2719" s="1"/>
    </row>
    <row r="2720" spans="2:2" x14ac:dyDescent="0.25">
      <c r="B2720" s="1"/>
    </row>
    <row r="2721" spans="2:2" x14ac:dyDescent="0.25">
      <c r="B2721" s="1"/>
    </row>
    <row r="2722" spans="2:2" x14ac:dyDescent="0.25">
      <c r="B2722" s="1"/>
    </row>
    <row r="2723" spans="2:2" x14ac:dyDescent="0.25">
      <c r="B2723" s="1"/>
    </row>
    <row r="2724" spans="2:2" x14ac:dyDescent="0.25">
      <c r="B2724" s="1"/>
    </row>
    <row r="2725" spans="2:2" x14ac:dyDescent="0.25">
      <c r="B2725" s="1"/>
    </row>
    <row r="2726" spans="2:2" x14ac:dyDescent="0.25">
      <c r="B2726" s="1"/>
    </row>
    <row r="2727" spans="2:2" x14ac:dyDescent="0.25">
      <c r="B2727" s="1"/>
    </row>
    <row r="2728" spans="2:2" x14ac:dyDescent="0.25">
      <c r="B2728" s="1"/>
    </row>
    <row r="2729" spans="2:2" x14ac:dyDescent="0.25">
      <c r="B2729" s="1"/>
    </row>
    <row r="2730" spans="2:2" x14ac:dyDescent="0.25">
      <c r="B2730" s="1"/>
    </row>
    <row r="2731" spans="2:2" x14ac:dyDescent="0.25">
      <c r="B2731" s="1"/>
    </row>
    <row r="2732" spans="2:2" x14ac:dyDescent="0.25">
      <c r="B2732" s="1"/>
    </row>
    <row r="2733" spans="2:2" x14ac:dyDescent="0.25">
      <c r="B2733" s="1"/>
    </row>
    <row r="2734" spans="2:2" x14ac:dyDescent="0.25">
      <c r="B2734" s="1"/>
    </row>
    <row r="2735" spans="2:2" x14ac:dyDescent="0.25">
      <c r="B2735" s="1"/>
    </row>
    <row r="2736" spans="2:2" x14ac:dyDescent="0.25">
      <c r="B2736" s="1"/>
    </row>
    <row r="2737" spans="2:2" x14ac:dyDescent="0.25">
      <c r="B2737" s="1"/>
    </row>
    <row r="2738" spans="2:2" x14ac:dyDescent="0.25">
      <c r="B2738" s="1"/>
    </row>
    <row r="2739" spans="2:2" x14ac:dyDescent="0.25">
      <c r="B2739" s="1"/>
    </row>
    <row r="2740" spans="2:2" x14ac:dyDescent="0.25">
      <c r="B2740" s="1"/>
    </row>
    <row r="2741" spans="2:2" x14ac:dyDescent="0.25">
      <c r="B2741" s="1"/>
    </row>
    <row r="2742" spans="2:2" x14ac:dyDescent="0.25">
      <c r="B2742" s="1"/>
    </row>
    <row r="2743" spans="2:2" x14ac:dyDescent="0.25">
      <c r="B2743" s="1"/>
    </row>
    <row r="2744" spans="2:2" x14ac:dyDescent="0.25">
      <c r="B2744" s="1"/>
    </row>
    <row r="2745" spans="2:2" x14ac:dyDescent="0.25">
      <c r="B2745" s="1"/>
    </row>
    <row r="2746" spans="2:2" x14ac:dyDescent="0.25">
      <c r="B2746" s="1"/>
    </row>
    <row r="2747" spans="2:2" x14ac:dyDescent="0.25">
      <c r="B2747" s="1"/>
    </row>
    <row r="2748" spans="2:2" x14ac:dyDescent="0.25">
      <c r="B2748" s="1"/>
    </row>
    <row r="2749" spans="2:2" x14ac:dyDescent="0.25">
      <c r="B2749" s="1"/>
    </row>
    <row r="2750" spans="2:2" x14ac:dyDescent="0.25">
      <c r="B2750" s="1"/>
    </row>
    <row r="2751" spans="2:2" x14ac:dyDescent="0.25">
      <c r="B2751" s="1"/>
    </row>
    <row r="2752" spans="2:2" x14ac:dyDescent="0.25">
      <c r="B2752" s="1"/>
    </row>
    <row r="2753" spans="2:2" x14ac:dyDescent="0.25">
      <c r="B2753" s="1"/>
    </row>
    <row r="2754" spans="2:2" x14ac:dyDescent="0.25">
      <c r="B2754" s="1"/>
    </row>
    <row r="2755" spans="2:2" x14ac:dyDescent="0.25">
      <c r="B2755" s="1"/>
    </row>
    <row r="2756" spans="2:2" x14ac:dyDescent="0.25">
      <c r="B2756" s="1"/>
    </row>
    <row r="2757" spans="2:2" x14ac:dyDescent="0.25">
      <c r="B2757" s="1"/>
    </row>
    <row r="2758" spans="2:2" x14ac:dyDescent="0.25">
      <c r="B2758" s="1"/>
    </row>
    <row r="2759" spans="2:2" x14ac:dyDescent="0.25">
      <c r="B2759" s="1"/>
    </row>
    <row r="2760" spans="2:2" x14ac:dyDescent="0.25">
      <c r="B2760" s="1"/>
    </row>
    <row r="2761" spans="2:2" x14ac:dyDescent="0.25">
      <c r="B2761" s="1"/>
    </row>
    <row r="2762" spans="2:2" x14ac:dyDescent="0.25">
      <c r="B2762" s="1"/>
    </row>
    <row r="2763" spans="2:2" x14ac:dyDescent="0.25">
      <c r="B2763" s="1"/>
    </row>
    <row r="2764" spans="2:2" x14ac:dyDescent="0.25">
      <c r="B2764" s="1"/>
    </row>
    <row r="2765" spans="2:2" x14ac:dyDescent="0.25">
      <c r="B2765" s="1"/>
    </row>
    <row r="2766" spans="2:2" x14ac:dyDescent="0.25">
      <c r="B2766" s="1"/>
    </row>
    <row r="2767" spans="2:2" x14ac:dyDescent="0.25">
      <c r="B2767" s="1"/>
    </row>
    <row r="2768" spans="2:2" x14ac:dyDescent="0.25">
      <c r="B2768" s="1"/>
    </row>
    <row r="2769" spans="2:2" x14ac:dyDescent="0.25">
      <c r="B2769" s="1"/>
    </row>
    <row r="2770" spans="2:2" x14ac:dyDescent="0.25">
      <c r="B2770" s="1"/>
    </row>
    <row r="2771" spans="2:2" x14ac:dyDescent="0.25">
      <c r="B2771" s="1"/>
    </row>
    <row r="2772" spans="2:2" x14ac:dyDescent="0.25">
      <c r="B2772" s="1"/>
    </row>
    <row r="2773" spans="2:2" x14ac:dyDescent="0.25">
      <c r="B2773" s="1"/>
    </row>
    <row r="2774" spans="2:2" x14ac:dyDescent="0.25">
      <c r="B2774" s="1"/>
    </row>
    <row r="2775" spans="2:2" x14ac:dyDescent="0.25">
      <c r="B2775" s="1"/>
    </row>
    <row r="2776" spans="2:2" x14ac:dyDescent="0.25">
      <c r="B2776" s="1"/>
    </row>
    <row r="2777" spans="2:2" x14ac:dyDescent="0.25">
      <c r="B2777" s="1"/>
    </row>
    <row r="2778" spans="2:2" x14ac:dyDescent="0.25">
      <c r="B2778" s="1"/>
    </row>
    <row r="2779" spans="2:2" x14ac:dyDescent="0.25">
      <c r="B2779" s="1"/>
    </row>
    <row r="2780" spans="2:2" x14ac:dyDescent="0.25">
      <c r="B2780" s="1"/>
    </row>
    <row r="2781" spans="2:2" x14ac:dyDescent="0.25">
      <c r="B2781" s="1"/>
    </row>
    <row r="2782" spans="2:2" x14ac:dyDescent="0.25">
      <c r="B2782" s="1"/>
    </row>
    <row r="2783" spans="2:2" x14ac:dyDescent="0.25">
      <c r="B2783" s="1"/>
    </row>
    <row r="2784" spans="2:2" x14ac:dyDescent="0.25">
      <c r="B2784" s="1"/>
    </row>
    <row r="2785" spans="2:2" x14ac:dyDescent="0.25">
      <c r="B2785" s="1"/>
    </row>
    <row r="2786" spans="2:2" x14ac:dyDescent="0.25">
      <c r="B2786" s="1"/>
    </row>
    <row r="2787" spans="2:2" x14ac:dyDescent="0.25">
      <c r="B2787" s="1"/>
    </row>
    <row r="2788" spans="2:2" x14ac:dyDescent="0.25">
      <c r="B2788" s="1"/>
    </row>
    <row r="2789" spans="2:2" x14ac:dyDescent="0.25">
      <c r="B2789" s="1"/>
    </row>
    <row r="2790" spans="2:2" x14ac:dyDescent="0.25">
      <c r="B2790" s="1"/>
    </row>
    <row r="2791" spans="2:2" x14ac:dyDescent="0.25">
      <c r="B2791" s="1"/>
    </row>
    <row r="2792" spans="2:2" x14ac:dyDescent="0.25">
      <c r="B2792" s="1"/>
    </row>
    <row r="2793" spans="2:2" x14ac:dyDescent="0.25">
      <c r="B2793" s="1"/>
    </row>
    <row r="2794" spans="2:2" x14ac:dyDescent="0.25">
      <c r="B2794" s="1"/>
    </row>
    <row r="2795" spans="2:2" x14ac:dyDescent="0.25">
      <c r="B2795" s="1"/>
    </row>
    <row r="2796" spans="2:2" x14ac:dyDescent="0.25">
      <c r="B2796" s="1"/>
    </row>
    <row r="2797" spans="2:2" x14ac:dyDescent="0.25">
      <c r="B2797" s="1"/>
    </row>
    <row r="2798" spans="2:2" x14ac:dyDescent="0.25">
      <c r="B2798" s="1"/>
    </row>
    <row r="2799" spans="2:2" x14ac:dyDescent="0.25">
      <c r="B2799" s="1"/>
    </row>
    <row r="2800" spans="2:2" x14ac:dyDescent="0.25">
      <c r="B2800" s="1"/>
    </row>
    <row r="2801" spans="2:2" x14ac:dyDescent="0.25">
      <c r="B2801" s="1"/>
    </row>
    <row r="2802" spans="2:2" x14ac:dyDescent="0.25">
      <c r="B2802" s="1"/>
    </row>
    <row r="2803" spans="2:2" x14ac:dyDescent="0.25">
      <c r="B2803" s="1"/>
    </row>
    <row r="2804" spans="2:2" x14ac:dyDescent="0.25">
      <c r="B2804" s="1"/>
    </row>
    <row r="2805" spans="2:2" x14ac:dyDescent="0.25">
      <c r="B2805" s="1"/>
    </row>
    <row r="2806" spans="2:2" x14ac:dyDescent="0.25">
      <c r="B2806" s="1"/>
    </row>
    <row r="2807" spans="2:2" x14ac:dyDescent="0.25">
      <c r="B2807" s="1"/>
    </row>
    <row r="2808" spans="2:2" x14ac:dyDescent="0.25">
      <c r="B2808" s="1"/>
    </row>
    <row r="2809" spans="2:2" x14ac:dyDescent="0.25">
      <c r="B2809" s="1"/>
    </row>
    <row r="2810" spans="2:2" x14ac:dyDescent="0.25">
      <c r="B2810" s="1"/>
    </row>
    <row r="2811" spans="2:2" x14ac:dyDescent="0.25">
      <c r="B2811" s="1"/>
    </row>
    <row r="2812" spans="2:2" x14ac:dyDescent="0.25">
      <c r="B2812" s="1"/>
    </row>
    <row r="2813" spans="2:2" x14ac:dyDescent="0.25">
      <c r="B2813" s="1"/>
    </row>
    <row r="2814" spans="2:2" x14ac:dyDescent="0.25">
      <c r="B2814" s="1"/>
    </row>
    <row r="2815" spans="2:2" x14ac:dyDescent="0.25">
      <c r="B2815" s="1"/>
    </row>
    <row r="2816" spans="2:2" x14ac:dyDescent="0.25">
      <c r="B2816" s="1"/>
    </row>
    <row r="2817" spans="2:2" x14ac:dyDescent="0.25">
      <c r="B2817" s="1"/>
    </row>
    <row r="2818" spans="2:2" x14ac:dyDescent="0.25">
      <c r="B2818" s="1"/>
    </row>
    <row r="2819" spans="2:2" x14ac:dyDescent="0.25">
      <c r="B2819" s="1"/>
    </row>
    <row r="2820" spans="2:2" x14ac:dyDescent="0.25">
      <c r="B2820" s="1"/>
    </row>
    <row r="2821" spans="2:2" x14ac:dyDescent="0.25">
      <c r="B2821" s="1"/>
    </row>
    <row r="2822" spans="2:2" x14ac:dyDescent="0.25">
      <c r="B2822" s="1"/>
    </row>
    <row r="2823" spans="2:2" x14ac:dyDescent="0.25">
      <c r="B2823" s="1"/>
    </row>
    <row r="2824" spans="2:2" x14ac:dyDescent="0.25">
      <c r="B2824" s="1"/>
    </row>
    <row r="2825" spans="2:2" x14ac:dyDescent="0.25">
      <c r="B2825" s="1"/>
    </row>
    <row r="2826" spans="2:2" x14ac:dyDescent="0.25">
      <c r="B2826" s="1"/>
    </row>
    <row r="2827" spans="2:2" x14ac:dyDescent="0.25">
      <c r="B2827" s="1"/>
    </row>
    <row r="2828" spans="2:2" x14ac:dyDescent="0.25">
      <c r="B2828" s="1"/>
    </row>
    <row r="2829" spans="2:2" x14ac:dyDescent="0.25">
      <c r="B2829" s="1"/>
    </row>
    <row r="2830" spans="2:2" x14ac:dyDescent="0.25">
      <c r="B2830" s="1"/>
    </row>
    <row r="2831" spans="2:2" x14ac:dyDescent="0.25">
      <c r="B2831" s="1"/>
    </row>
    <row r="2832" spans="2:2" x14ac:dyDescent="0.25">
      <c r="B2832" s="1"/>
    </row>
    <row r="2833" spans="2:2" x14ac:dyDescent="0.25">
      <c r="B2833" s="1"/>
    </row>
    <row r="2834" spans="2:2" x14ac:dyDescent="0.25">
      <c r="B2834" s="1"/>
    </row>
    <row r="2835" spans="2:2" x14ac:dyDescent="0.25">
      <c r="B2835" s="1"/>
    </row>
    <row r="2836" spans="2:2" x14ac:dyDescent="0.25">
      <c r="B2836" s="1"/>
    </row>
    <row r="2837" spans="2:2" x14ac:dyDescent="0.25">
      <c r="B2837" s="1"/>
    </row>
    <row r="2838" spans="2:2" x14ac:dyDescent="0.25">
      <c r="B2838" s="1"/>
    </row>
    <row r="2839" spans="2:2" x14ac:dyDescent="0.25">
      <c r="B2839" s="1"/>
    </row>
    <row r="2840" spans="2:2" x14ac:dyDescent="0.25">
      <c r="B2840" s="1"/>
    </row>
    <row r="2841" spans="2:2" x14ac:dyDescent="0.25">
      <c r="B2841" s="1"/>
    </row>
    <row r="2842" spans="2:2" x14ac:dyDescent="0.25">
      <c r="B2842" s="1"/>
    </row>
    <row r="2843" spans="2:2" x14ac:dyDescent="0.25">
      <c r="B2843" s="1"/>
    </row>
    <row r="2844" spans="2:2" x14ac:dyDescent="0.25">
      <c r="B2844" s="1"/>
    </row>
    <row r="2845" spans="2:2" x14ac:dyDescent="0.25">
      <c r="B2845" s="1"/>
    </row>
    <row r="2846" spans="2:2" x14ac:dyDescent="0.25">
      <c r="B2846" s="1"/>
    </row>
    <row r="2847" spans="2:2" x14ac:dyDescent="0.25">
      <c r="B2847" s="1"/>
    </row>
    <row r="2848" spans="2:2" x14ac:dyDescent="0.25">
      <c r="B2848" s="1"/>
    </row>
    <row r="2849" spans="2:2" x14ac:dyDescent="0.25">
      <c r="B2849" s="1"/>
    </row>
    <row r="2850" spans="2:2" x14ac:dyDescent="0.25">
      <c r="B2850" s="1"/>
    </row>
    <row r="2851" spans="2:2" x14ac:dyDescent="0.25">
      <c r="B2851" s="1"/>
    </row>
    <row r="2852" spans="2:2" x14ac:dyDescent="0.25">
      <c r="B2852" s="1"/>
    </row>
    <row r="2853" spans="2:2" x14ac:dyDescent="0.25">
      <c r="B2853" s="1"/>
    </row>
    <row r="2854" spans="2:2" x14ac:dyDescent="0.25">
      <c r="B2854" s="1"/>
    </row>
    <row r="2855" spans="2:2" x14ac:dyDescent="0.25">
      <c r="B2855" s="1"/>
    </row>
    <row r="2856" spans="2:2" x14ac:dyDescent="0.25">
      <c r="B2856" s="1"/>
    </row>
    <row r="2857" spans="2:2" x14ac:dyDescent="0.25">
      <c r="B2857" s="1"/>
    </row>
    <row r="2858" spans="2:2" x14ac:dyDescent="0.25">
      <c r="B2858" s="1"/>
    </row>
    <row r="2859" spans="2:2" x14ac:dyDescent="0.25">
      <c r="B2859" s="1"/>
    </row>
    <row r="2860" spans="2:2" x14ac:dyDescent="0.25">
      <c r="B2860" s="1"/>
    </row>
    <row r="2861" spans="2:2" x14ac:dyDescent="0.25">
      <c r="B2861" s="1"/>
    </row>
    <row r="2862" spans="2:2" x14ac:dyDescent="0.25">
      <c r="B2862" s="1"/>
    </row>
    <row r="2863" spans="2:2" x14ac:dyDescent="0.25">
      <c r="B2863" s="1"/>
    </row>
    <row r="2864" spans="2:2" x14ac:dyDescent="0.25">
      <c r="B2864" s="1"/>
    </row>
    <row r="2865" spans="2:2" x14ac:dyDescent="0.25">
      <c r="B2865" s="1"/>
    </row>
    <row r="2866" spans="2:2" x14ac:dyDescent="0.25">
      <c r="B2866" s="1"/>
    </row>
    <row r="2867" spans="2:2" x14ac:dyDescent="0.25">
      <c r="B2867" s="1"/>
    </row>
    <row r="2868" spans="2:2" x14ac:dyDescent="0.25">
      <c r="B2868" s="1"/>
    </row>
    <row r="2869" spans="2:2" x14ac:dyDescent="0.25">
      <c r="B2869" s="1"/>
    </row>
    <row r="2870" spans="2:2" x14ac:dyDescent="0.25">
      <c r="B2870" s="1"/>
    </row>
    <row r="2871" spans="2:2" x14ac:dyDescent="0.25">
      <c r="B2871" s="1"/>
    </row>
    <row r="2872" spans="2:2" x14ac:dyDescent="0.25">
      <c r="B2872" s="1"/>
    </row>
    <row r="2873" spans="2:2" x14ac:dyDescent="0.25">
      <c r="B2873" s="1"/>
    </row>
    <row r="2874" spans="2:2" x14ac:dyDescent="0.25">
      <c r="B2874" s="1"/>
    </row>
    <row r="2875" spans="2:2" x14ac:dyDescent="0.25">
      <c r="B2875" s="1"/>
    </row>
    <row r="2876" spans="2:2" x14ac:dyDescent="0.25">
      <c r="B2876" s="1"/>
    </row>
    <row r="2877" spans="2:2" x14ac:dyDescent="0.25">
      <c r="B2877" s="1"/>
    </row>
    <row r="2878" spans="2:2" x14ac:dyDescent="0.25">
      <c r="B2878" s="1"/>
    </row>
    <row r="2879" spans="2:2" x14ac:dyDescent="0.25">
      <c r="B2879" s="1"/>
    </row>
    <row r="2880" spans="2:2" x14ac:dyDescent="0.25">
      <c r="B2880" s="1"/>
    </row>
    <row r="2881" spans="2:2" x14ac:dyDescent="0.25">
      <c r="B2881" s="1"/>
    </row>
    <row r="2882" spans="2:2" x14ac:dyDescent="0.25">
      <c r="B2882" s="1"/>
    </row>
    <row r="2883" spans="2:2" x14ac:dyDescent="0.25">
      <c r="B2883" s="1"/>
    </row>
    <row r="2884" spans="2:2" x14ac:dyDescent="0.25">
      <c r="B2884" s="1"/>
    </row>
    <row r="2885" spans="2:2" x14ac:dyDescent="0.25">
      <c r="B2885" s="1"/>
    </row>
    <row r="2886" spans="2:2" x14ac:dyDescent="0.25">
      <c r="B2886" s="1"/>
    </row>
    <row r="2887" spans="2:2" x14ac:dyDescent="0.25">
      <c r="B2887" s="1"/>
    </row>
    <row r="2888" spans="2:2" x14ac:dyDescent="0.25">
      <c r="B2888" s="1"/>
    </row>
    <row r="2889" spans="2:2" x14ac:dyDescent="0.25">
      <c r="B2889" s="1"/>
    </row>
    <row r="2890" spans="2:2" x14ac:dyDescent="0.25">
      <c r="B2890" s="1"/>
    </row>
    <row r="2891" spans="2:2" x14ac:dyDescent="0.25">
      <c r="B2891" s="1"/>
    </row>
    <row r="2892" spans="2:2" x14ac:dyDescent="0.25">
      <c r="B2892" s="1"/>
    </row>
    <row r="2893" spans="2:2" x14ac:dyDescent="0.25">
      <c r="B2893" s="1"/>
    </row>
    <row r="2894" spans="2:2" x14ac:dyDescent="0.25">
      <c r="B2894" s="1"/>
    </row>
    <row r="2895" spans="2:2" x14ac:dyDescent="0.25">
      <c r="B2895" s="1"/>
    </row>
    <row r="2896" spans="2:2" x14ac:dyDescent="0.25">
      <c r="B2896" s="1"/>
    </row>
    <row r="2897" spans="2:2" x14ac:dyDescent="0.25">
      <c r="B2897" s="1"/>
    </row>
    <row r="2898" spans="2:2" x14ac:dyDescent="0.25">
      <c r="B2898" s="1"/>
    </row>
    <row r="2899" spans="2:2" x14ac:dyDescent="0.25">
      <c r="B2899" s="1"/>
    </row>
    <row r="2900" spans="2:2" x14ac:dyDescent="0.25">
      <c r="B2900" s="1"/>
    </row>
    <row r="2901" spans="2:2" x14ac:dyDescent="0.25">
      <c r="B2901" s="1"/>
    </row>
    <row r="2902" spans="2:2" x14ac:dyDescent="0.25">
      <c r="B2902" s="1"/>
    </row>
    <row r="2903" spans="2:2" x14ac:dyDescent="0.25">
      <c r="B2903" s="1"/>
    </row>
    <row r="2904" spans="2:2" x14ac:dyDescent="0.25">
      <c r="B2904" s="1"/>
    </row>
    <row r="2905" spans="2:2" x14ac:dyDescent="0.25">
      <c r="B2905" s="1"/>
    </row>
    <row r="2906" spans="2:2" x14ac:dyDescent="0.25">
      <c r="B2906" s="1"/>
    </row>
    <row r="2907" spans="2:2" x14ac:dyDescent="0.25">
      <c r="B2907" s="1"/>
    </row>
    <row r="2908" spans="2:2" x14ac:dyDescent="0.25">
      <c r="B2908" s="1"/>
    </row>
    <row r="2909" spans="2:2" x14ac:dyDescent="0.25">
      <c r="B2909" s="1"/>
    </row>
    <row r="2910" spans="2:2" x14ac:dyDescent="0.25">
      <c r="B2910" s="1"/>
    </row>
    <row r="2911" spans="2:2" x14ac:dyDescent="0.25">
      <c r="B2911" s="1"/>
    </row>
    <row r="2912" spans="2:2" x14ac:dyDescent="0.25">
      <c r="B2912" s="1"/>
    </row>
    <row r="2913" spans="2:2" x14ac:dyDescent="0.25">
      <c r="B2913" s="1"/>
    </row>
    <row r="2914" spans="2:2" x14ac:dyDescent="0.25">
      <c r="B2914" s="1"/>
    </row>
    <row r="2915" spans="2:2" x14ac:dyDescent="0.25">
      <c r="B2915" s="1"/>
    </row>
    <row r="2916" spans="2:2" x14ac:dyDescent="0.25">
      <c r="B2916" s="1"/>
    </row>
    <row r="2917" spans="2:2" x14ac:dyDescent="0.25">
      <c r="B2917" s="1"/>
    </row>
    <row r="2918" spans="2:2" x14ac:dyDescent="0.25">
      <c r="B2918" s="1"/>
    </row>
    <row r="2919" spans="2:2" x14ac:dyDescent="0.25">
      <c r="B2919" s="1"/>
    </row>
    <row r="2920" spans="2:2" x14ac:dyDescent="0.25">
      <c r="B2920" s="1"/>
    </row>
    <row r="2921" spans="2:2" x14ac:dyDescent="0.25">
      <c r="B2921" s="1"/>
    </row>
    <row r="2922" spans="2:2" x14ac:dyDescent="0.25">
      <c r="B2922" s="1"/>
    </row>
    <row r="2923" spans="2:2" x14ac:dyDescent="0.25">
      <c r="B2923" s="1"/>
    </row>
    <row r="2924" spans="2:2" x14ac:dyDescent="0.25">
      <c r="B2924" s="1"/>
    </row>
    <row r="2925" spans="2:2" x14ac:dyDescent="0.25">
      <c r="B2925" s="1"/>
    </row>
    <row r="2926" spans="2:2" x14ac:dyDescent="0.25">
      <c r="B2926" s="1"/>
    </row>
    <row r="2927" spans="2:2" x14ac:dyDescent="0.25">
      <c r="B2927" s="1"/>
    </row>
    <row r="2928" spans="2:2" x14ac:dyDescent="0.25">
      <c r="B2928" s="1"/>
    </row>
    <row r="2929" spans="2:2" x14ac:dyDescent="0.25">
      <c r="B2929" s="1"/>
    </row>
    <row r="2930" spans="2:2" x14ac:dyDescent="0.25">
      <c r="B2930" s="1"/>
    </row>
    <row r="2931" spans="2:2" x14ac:dyDescent="0.25">
      <c r="B2931" s="1"/>
    </row>
    <row r="2932" spans="2:2" x14ac:dyDescent="0.25">
      <c r="B2932" s="1"/>
    </row>
    <row r="2933" spans="2:2" x14ac:dyDescent="0.25">
      <c r="B2933" s="1"/>
    </row>
    <row r="2934" spans="2:2" x14ac:dyDescent="0.25">
      <c r="B2934" s="1"/>
    </row>
    <row r="2935" spans="2:2" x14ac:dyDescent="0.25">
      <c r="B2935" s="1"/>
    </row>
    <row r="2936" spans="2:2" x14ac:dyDescent="0.25">
      <c r="B2936" s="1"/>
    </row>
    <row r="2937" spans="2:2" x14ac:dyDescent="0.25">
      <c r="B2937" s="1"/>
    </row>
    <row r="2938" spans="2:2" x14ac:dyDescent="0.25">
      <c r="B2938" s="1"/>
    </row>
    <row r="2939" spans="2:2" x14ac:dyDescent="0.25">
      <c r="B2939" s="1"/>
    </row>
    <row r="2940" spans="2:2" x14ac:dyDescent="0.25">
      <c r="B2940" s="1"/>
    </row>
    <row r="2941" spans="2:2" x14ac:dyDescent="0.25">
      <c r="B2941" s="1"/>
    </row>
    <row r="2942" spans="2:2" x14ac:dyDescent="0.25">
      <c r="B2942" s="1"/>
    </row>
    <row r="2943" spans="2:2" x14ac:dyDescent="0.25">
      <c r="B2943" s="1"/>
    </row>
    <row r="2944" spans="2:2" x14ac:dyDescent="0.25">
      <c r="B2944" s="1"/>
    </row>
    <row r="2945" spans="2:2" x14ac:dyDescent="0.25">
      <c r="B2945" s="1"/>
    </row>
    <row r="2946" spans="2:2" x14ac:dyDescent="0.25">
      <c r="B2946" s="1"/>
    </row>
    <row r="2947" spans="2:2" x14ac:dyDescent="0.25">
      <c r="B2947" s="1"/>
    </row>
    <row r="2948" spans="2:2" x14ac:dyDescent="0.25">
      <c r="B2948" s="1"/>
    </row>
    <row r="2949" spans="2:2" x14ac:dyDescent="0.25">
      <c r="B2949" s="1"/>
    </row>
    <row r="2950" spans="2:2" x14ac:dyDescent="0.25">
      <c r="B2950" s="1"/>
    </row>
    <row r="2951" spans="2:2" x14ac:dyDescent="0.25">
      <c r="B2951" s="1"/>
    </row>
    <row r="2952" spans="2:2" x14ac:dyDescent="0.25">
      <c r="B2952" s="1"/>
    </row>
    <row r="2953" spans="2:2" x14ac:dyDescent="0.25">
      <c r="B2953" s="1"/>
    </row>
    <row r="2954" spans="2:2" x14ac:dyDescent="0.25">
      <c r="B2954" s="1"/>
    </row>
    <row r="2955" spans="2:2" x14ac:dyDescent="0.25">
      <c r="B2955" s="1"/>
    </row>
    <row r="2956" spans="2:2" x14ac:dyDescent="0.25">
      <c r="B2956" s="1"/>
    </row>
    <row r="2957" spans="2:2" x14ac:dyDescent="0.25">
      <c r="B2957" s="1"/>
    </row>
    <row r="2958" spans="2:2" x14ac:dyDescent="0.25">
      <c r="B2958" s="1"/>
    </row>
    <row r="2959" spans="2:2" x14ac:dyDescent="0.25">
      <c r="B2959" s="1"/>
    </row>
    <row r="2960" spans="2:2" x14ac:dyDescent="0.25">
      <c r="B2960" s="1"/>
    </row>
    <row r="2961" spans="2:2" x14ac:dyDescent="0.25">
      <c r="B2961" s="1"/>
    </row>
    <row r="2962" spans="2:2" x14ac:dyDescent="0.25">
      <c r="B2962" s="1"/>
    </row>
    <row r="2963" spans="2:2" x14ac:dyDescent="0.25">
      <c r="B2963" s="1"/>
    </row>
    <row r="2964" spans="2:2" x14ac:dyDescent="0.25">
      <c r="B2964" s="1"/>
    </row>
    <row r="2965" spans="2:2" x14ac:dyDescent="0.25">
      <c r="B2965" s="1"/>
    </row>
    <row r="2966" spans="2:2" x14ac:dyDescent="0.25">
      <c r="B2966" s="1"/>
    </row>
    <row r="2967" spans="2:2" x14ac:dyDescent="0.25">
      <c r="B2967" s="1"/>
    </row>
    <row r="2968" spans="2:2" x14ac:dyDescent="0.25">
      <c r="B2968" s="1"/>
    </row>
    <row r="2969" spans="2:2" x14ac:dyDescent="0.25">
      <c r="B2969" s="1"/>
    </row>
    <row r="2970" spans="2:2" x14ac:dyDescent="0.25">
      <c r="B2970" s="1"/>
    </row>
    <row r="2971" spans="2:2" x14ac:dyDescent="0.25">
      <c r="B2971" s="1"/>
    </row>
    <row r="2972" spans="2:2" x14ac:dyDescent="0.25">
      <c r="B2972" s="1"/>
    </row>
    <row r="2973" spans="2:2" x14ac:dyDescent="0.25">
      <c r="B2973" s="1"/>
    </row>
    <row r="2974" spans="2:2" x14ac:dyDescent="0.25">
      <c r="B2974" s="1"/>
    </row>
    <row r="2975" spans="2:2" x14ac:dyDescent="0.25">
      <c r="B2975" s="1"/>
    </row>
    <row r="2976" spans="2:2" x14ac:dyDescent="0.25">
      <c r="B2976" s="1"/>
    </row>
    <row r="2977" spans="2:2" x14ac:dyDescent="0.25">
      <c r="B2977" s="1"/>
    </row>
    <row r="2978" spans="2:2" x14ac:dyDescent="0.25">
      <c r="B2978" s="1"/>
    </row>
    <row r="2979" spans="2:2" x14ac:dyDescent="0.25">
      <c r="B2979" s="1"/>
    </row>
    <row r="2980" spans="2:2" x14ac:dyDescent="0.25">
      <c r="B2980" s="1"/>
    </row>
    <row r="2981" spans="2:2" x14ac:dyDescent="0.25">
      <c r="B2981" s="1"/>
    </row>
    <row r="2982" spans="2:2" x14ac:dyDescent="0.25">
      <c r="B2982" s="1"/>
    </row>
    <row r="2983" spans="2:2" x14ac:dyDescent="0.25">
      <c r="B2983" s="1"/>
    </row>
    <row r="2984" spans="2:2" x14ac:dyDescent="0.25">
      <c r="B2984" s="1"/>
    </row>
    <row r="2985" spans="2:2" x14ac:dyDescent="0.25">
      <c r="B2985" s="1"/>
    </row>
    <row r="2986" spans="2:2" x14ac:dyDescent="0.25">
      <c r="B2986" s="1"/>
    </row>
    <row r="2987" spans="2:2" x14ac:dyDescent="0.25">
      <c r="B2987" s="1"/>
    </row>
    <row r="2988" spans="2:2" x14ac:dyDescent="0.25">
      <c r="B2988" s="1"/>
    </row>
    <row r="2989" spans="2:2" x14ac:dyDescent="0.25">
      <c r="B2989" s="1"/>
    </row>
    <row r="2990" spans="2:2" x14ac:dyDescent="0.25">
      <c r="B2990" s="1"/>
    </row>
    <row r="2991" spans="2:2" x14ac:dyDescent="0.25">
      <c r="B2991" s="1"/>
    </row>
    <row r="2992" spans="2:2" x14ac:dyDescent="0.25">
      <c r="B2992" s="1"/>
    </row>
    <row r="2993" spans="2:2" x14ac:dyDescent="0.25">
      <c r="B2993" s="1"/>
    </row>
    <row r="2994" spans="2:2" x14ac:dyDescent="0.25">
      <c r="B2994" s="1"/>
    </row>
    <row r="2995" spans="2:2" x14ac:dyDescent="0.25">
      <c r="B2995" s="1"/>
    </row>
    <row r="2996" spans="2:2" x14ac:dyDescent="0.25">
      <c r="B2996" s="1"/>
    </row>
    <row r="2997" spans="2:2" x14ac:dyDescent="0.25">
      <c r="B2997" s="1"/>
    </row>
    <row r="2998" spans="2:2" x14ac:dyDescent="0.25">
      <c r="B2998" s="1"/>
    </row>
    <row r="2999" spans="2:2" x14ac:dyDescent="0.25">
      <c r="B2999" s="1"/>
    </row>
    <row r="3000" spans="2:2" x14ac:dyDescent="0.25">
      <c r="B3000" s="1"/>
    </row>
    <row r="3001" spans="2:2" x14ac:dyDescent="0.25">
      <c r="B3001" s="1"/>
    </row>
    <row r="3002" spans="2:2" x14ac:dyDescent="0.25">
      <c r="B3002" s="1"/>
    </row>
    <row r="3003" spans="2:2" x14ac:dyDescent="0.25">
      <c r="B3003" s="1"/>
    </row>
    <row r="3004" spans="2:2" x14ac:dyDescent="0.25">
      <c r="B3004" s="1"/>
    </row>
    <row r="3005" spans="2:2" x14ac:dyDescent="0.25">
      <c r="B3005" s="1"/>
    </row>
    <row r="3006" spans="2:2" x14ac:dyDescent="0.25">
      <c r="B3006" s="1"/>
    </row>
    <row r="3007" spans="2:2" x14ac:dyDescent="0.25">
      <c r="B3007" s="1"/>
    </row>
    <row r="3008" spans="2:2" x14ac:dyDescent="0.25">
      <c r="B3008" s="1"/>
    </row>
    <row r="3009" spans="2:2" x14ac:dyDescent="0.25">
      <c r="B3009" s="1"/>
    </row>
    <row r="3010" spans="2:2" x14ac:dyDescent="0.25">
      <c r="B3010" s="1"/>
    </row>
    <row r="3011" spans="2:2" x14ac:dyDescent="0.25">
      <c r="B3011" s="1"/>
    </row>
    <row r="3012" spans="2:2" x14ac:dyDescent="0.25">
      <c r="B3012" s="1"/>
    </row>
    <row r="3013" spans="2:2" x14ac:dyDescent="0.25">
      <c r="B3013" s="1"/>
    </row>
    <row r="3014" spans="2:2" x14ac:dyDescent="0.25">
      <c r="B3014" s="1"/>
    </row>
    <row r="3015" spans="2:2" x14ac:dyDescent="0.25">
      <c r="B3015" s="1"/>
    </row>
    <row r="3016" spans="2:2" x14ac:dyDescent="0.25">
      <c r="B3016" s="1"/>
    </row>
    <row r="3017" spans="2:2" x14ac:dyDescent="0.25">
      <c r="B3017" s="1"/>
    </row>
    <row r="3018" spans="2:2" x14ac:dyDescent="0.25">
      <c r="B3018" s="1"/>
    </row>
    <row r="3019" spans="2:2" x14ac:dyDescent="0.25">
      <c r="B3019" s="1"/>
    </row>
    <row r="3020" spans="2:2" x14ac:dyDescent="0.25">
      <c r="B3020" s="1"/>
    </row>
    <row r="3021" spans="2:2" x14ac:dyDescent="0.25">
      <c r="B3021" s="1"/>
    </row>
    <row r="3022" spans="2:2" x14ac:dyDescent="0.25">
      <c r="B3022" s="1"/>
    </row>
    <row r="3023" spans="2:2" x14ac:dyDescent="0.25">
      <c r="B3023" s="1"/>
    </row>
    <row r="3024" spans="2:2" x14ac:dyDescent="0.25">
      <c r="B3024" s="1"/>
    </row>
    <row r="3025" spans="2:2" x14ac:dyDescent="0.25">
      <c r="B3025" s="1"/>
    </row>
    <row r="3026" spans="2:2" x14ac:dyDescent="0.25">
      <c r="B3026" s="1"/>
    </row>
    <row r="3027" spans="2:2" x14ac:dyDescent="0.25">
      <c r="B3027" s="1"/>
    </row>
    <row r="3028" spans="2:2" x14ac:dyDescent="0.25">
      <c r="B3028" s="1"/>
    </row>
    <row r="3029" spans="2:2" x14ac:dyDescent="0.25">
      <c r="B3029" s="1"/>
    </row>
    <row r="3030" spans="2:2" x14ac:dyDescent="0.25">
      <c r="B3030" s="1"/>
    </row>
    <row r="3031" spans="2:2" x14ac:dyDescent="0.25">
      <c r="B3031" s="1"/>
    </row>
    <row r="3032" spans="2:2" x14ac:dyDescent="0.25">
      <c r="B3032" s="1"/>
    </row>
    <row r="3033" spans="2:2" x14ac:dyDescent="0.25">
      <c r="B3033" s="1"/>
    </row>
    <row r="3034" spans="2:2" x14ac:dyDescent="0.25">
      <c r="B3034" s="1"/>
    </row>
    <row r="3035" spans="2:2" x14ac:dyDescent="0.25">
      <c r="B3035" s="1"/>
    </row>
    <row r="3036" spans="2:2" x14ac:dyDescent="0.25">
      <c r="B3036" s="1"/>
    </row>
    <row r="3037" spans="2:2" x14ac:dyDescent="0.25">
      <c r="B3037" s="1"/>
    </row>
    <row r="3038" spans="2:2" x14ac:dyDescent="0.25">
      <c r="B3038" s="1"/>
    </row>
    <row r="3039" spans="2:2" x14ac:dyDescent="0.25">
      <c r="B3039" s="1"/>
    </row>
    <row r="3040" spans="2:2" x14ac:dyDescent="0.25">
      <c r="B3040" s="1"/>
    </row>
    <row r="3041" spans="2:2" x14ac:dyDescent="0.25">
      <c r="B3041" s="1"/>
    </row>
    <row r="3042" spans="2:2" x14ac:dyDescent="0.25">
      <c r="B3042" s="1"/>
    </row>
    <row r="3043" spans="2:2" x14ac:dyDescent="0.25">
      <c r="B3043" s="1"/>
    </row>
    <row r="3044" spans="2:2" x14ac:dyDescent="0.25">
      <c r="B3044" s="1"/>
    </row>
    <row r="3045" spans="2:2" x14ac:dyDescent="0.25">
      <c r="B3045" s="1"/>
    </row>
    <row r="3046" spans="2:2" x14ac:dyDescent="0.25">
      <c r="B3046" s="1"/>
    </row>
    <row r="3047" spans="2:2" x14ac:dyDescent="0.25">
      <c r="B3047" s="1"/>
    </row>
    <row r="3048" spans="2:2" x14ac:dyDescent="0.25">
      <c r="B3048" s="1"/>
    </row>
    <row r="3049" spans="2:2" x14ac:dyDescent="0.25">
      <c r="B3049" s="1"/>
    </row>
    <row r="3050" spans="2:2" x14ac:dyDescent="0.25">
      <c r="B3050" s="1"/>
    </row>
    <row r="3051" spans="2:2" x14ac:dyDescent="0.25">
      <c r="B3051" s="1"/>
    </row>
    <row r="3052" spans="2:2" x14ac:dyDescent="0.25">
      <c r="B3052" s="1"/>
    </row>
    <row r="3053" spans="2:2" x14ac:dyDescent="0.25">
      <c r="B3053" s="1"/>
    </row>
    <row r="3054" spans="2:2" x14ac:dyDescent="0.25">
      <c r="B3054" s="1"/>
    </row>
    <row r="3055" spans="2:2" x14ac:dyDescent="0.25">
      <c r="B3055" s="1"/>
    </row>
    <row r="3056" spans="2:2" x14ac:dyDescent="0.25">
      <c r="B3056" s="1"/>
    </row>
    <row r="3057" spans="2:2" x14ac:dyDescent="0.25">
      <c r="B3057" s="1"/>
    </row>
    <row r="3058" spans="2:2" x14ac:dyDescent="0.25">
      <c r="B3058" s="1"/>
    </row>
    <row r="3059" spans="2:2" x14ac:dyDescent="0.25">
      <c r="B3059" s="1"/>
    </row>
    <row r="3060" spans="2:2" x14ac:dyDescent="0.25">
      <c r="B3060" s="1"/>
    </row>
    <row r="3061" spans="2:2" x14ac:dyDescent="0.25">
      <c r="B3061" s="1"/>
    </row>
    <row r="3062" spans="2:2" x14ac:dyDescent="0.25">
      <c r="B3062" s="1"/>
    </row>
    <row r="3063" spans="2:2" x14ac:dyDescent="0.25">
      <c r="B3063" s="1"/>
    </row>
    <row r="3064" spans="2:2" x14ac:dyDescent="0.25">
      <c r="B3064" s="1"/>
    </row>
    <row r="3065" spans="2:2" x14ac:dyDescent="0.25">
      <c r="B3065" s="1"/>
    </row>
    <row r="3066" spans="2:2" x14ac:dyDescent="0.25">
      <c r="B3066" s="1"/>
    </row>
    <row r="3067" spans="2:2" x14ac:dyDescent="0.25">
      <c r="B3067" s="1"/>
    </row>
    <row r="3068" spans="2:2" x14ac:dyDescent="0.25">
      <c r="B3068" s="1"/>
    </row>
    <row r="3069" spans="2:2" x14ac:dyDescent="0.25">
      <c r="B3069" s="1"/>
    </row>
    <row r="3070" spans="2:2" x14ac:dyDescent="0.25">
      <c r="B3070" s="1"/>
    </row>
    <row r="3071" spans="2:2" x14ac:dyDescent="0.25">
      <c r="B3071" s="1"/>
    </row>
    <row r="3072" spans="2:2" x14ac:dyDescent="0.25">
      <c r="B3072" s="1"/>
    </row>
    <row r="3073" spans="2:2" x14ac:dyDescent="0.25">
      <c r="B3073" s="1"/>
    </row>
    <row r="3074" spans="2:2" x14ac:dyDescent="0.25">
      <c r="B3074" s="1"/>
    </row>
    <row r="3075" spans="2:2" x14ac:dyDescent="0.25">
      <c r="B3075" s="1"/>
    </row>
    <row r="3076" spans="2:2" x14ac:dyDescent="0.25">
      <c r="B3076" s="1"/>
    </row>
    <row r="3077" spans="2:2" x14ac:dyDescent="0.25">
      <c r="B3077" s="1"/>
    </row>
    <row r="3078" spans="2:2" x14ac:dyDescent="0.25">
      <c r="B3078" s="1"/>
    </row>
    <row r="3079" spans="2:2" x14ac:dyDescent="0.25">
      <c r="B3079" s="1"/>
    </row>
    <row r="3080" spans="2:2" x14ac:dyDescent="0.25">
      <c r="B3080" s="1"/>
    </row>
    <row r="3081" spans="2:2" x14ac:dyDescent="0.25">
      <c r="B3081" s="1"/>
    </row>
    <row r="3082" spans="2:2" x14ac:dyDescent="0.25">
      <c r="B3082" s="1"/>
    </row>
    <row r="3083" spans="2:2" x14ac:dyDescent="0.25">
      <c r="B3083" s="1"/>
    </row>
    <row r="3084" spans="2:2" x14ac:dyDescent="0.25">
      <c r="B3084" s="1"/>
    </row>
    <row r="3085" spans="2:2" x14ac:dyDescent="0.25">
      <c r="B3085" s="1"/>
    </row>
    <row r="3086" spans="2:2" x14ac:dyDescent="0.25">
      <c r="B3086" s="1"/>
    </row>
    <row r="3087" spans="2:2" x14ac:dyDescent="0.25">
      <c r="B3087" s="1"/>
    </row>
    <row r="3088" spans="2:2" x14ac:dyDescent="0.25">
      <c r="B3088" s="1"/>
    </row>
    <row r="3089" spans="2:2" x14ac:dyDescent="0.25">
      <c r="B3089" s="1"/>
    </row>
    <row r="3090" spans="2:2" x14ac:dyDescent="0.25">
      <c r="B3090" s="1"/>
    </row>
    <row r="3091" spans="2:2" x14ac:dyDescent="0.25">
      <c r="B3091" s="1"/>
    </row>
    <row r="3092" spans="2:2" x14ac:dyDescent="0.25">
      <c r="B3092" s="1"/>
    </row>
    <row r="3093" spans="2:2" x14ac:dyDescent="0.25">
      <c r="B3093" s="1"/>
    </row>
    <row r="3094" spans="2:2" x14ac:dyDescent="0.25">
      <c r="B3094" s="1"/>
    </row>
    <row r="3095" spans="2:2" x14ac:dyDescent="0.25">
      <c r="B3095" s="1"/>
    </row>
    <row r="3096" spans="2:2" x14ac:dyDescent="0.25">
      <c r="B3096" s="1"/>
    </row>
    <row r="3097" spans="2:2" x14ac:dyDescent="0.25">
      <c r="B3097" s="1"/>
    </row>
    <row r="3098" spans="2:2" x14ac:dyDescent="0.25">
      <c r="B3098" s="1"/>
    </row>
    <row r="3099" spans="2:2" x14ac:dyDescent="0.25">
      <c r="B3099" s="1"/>
    </row>
    <row r="3100" spans="2:2" x14ac:dyDescent="0.25">
      <c r="B3100" s="1"/>
    </row>
    <row r="3101" spans="2:2" x14ac:dyDescent="0.25">
      <c r="B3101" s="1"/>
    </row>
    <row r="3102" spans="2:2" x14ac:dyDescent="0.25">
      <c r="B3102" s="1"/>
    </row>
    <row r="3103" spans="2:2" x14ac:dyDescent="0.25">
      <c r="B3103" s="1"/>
    </row>
    <row r="3104" spans="2:2" x14ac:dyDescent="0.25">
      <c r="B3104" s="1"/>
    </row>
    <row r="3105" spans="2:2" x14ac:dyDescent="0.25">
      <c r="B3105" s="1"/>
    </row>
    <row r="3106" spans="2:2" x14ac:dyDescent="0.25">
      <c r="B3106" s="1"/>
    </row>
    <row r="3107" spans="2:2" x14ac:dyDescent="0.25">
      <c r="B3107" s="1"/>
    </row>
    <row r="3108" spans="2:2" x14ac:dyDescent="0.25">
      <c r="B3108" s="1"/>
    </row>
    <row r="3109" spans="2:2" x14ac:dyDescent="0.25">
      <c r="B3109" s="1"/>
    </row>
    <row r="3110" spans="2:2" x14ac:dyDescent="0.25">
      <c r="B3110" s="1"/>
    </row>
    <row r="3111" spans="2:2" x14ac:dyDescent="0.25">
      <c r="B3111" s="1"/>
    </row>
    <row r="3112" spans="2:2" x14ac:dyDescent="0.25">
      <c r="B3112" s="1"/>
    </row>
    <row r="3113" spans="2:2" x14ac:dyDescent="0.25">
      <c r="B3113" s="1"/>
    </row>
    <row r="3114" spans="2:2" x14ac:dyDescent="0.25">
      <c r="B3114" s="1"/>
    </row>
    <row r="3115" spans="2:2" x14ac:dyDescent="0.25">
      <c r="B3115" s="1"/>
    </row>
    <row r="3116" spans="2:2" x14ac:dyDescent="0.25">
      <c r="B3116" s="1"/>
    </row>
    <row r="3117" spans="2:2" x14ac:dyDescent="0.25">
      <c r="B3117" s="1"/>
    </row>
    <row r="3118" spans="2:2" x14ac:dyDescent="0.25">
      <c r="B3118" s="1"/>
    </row>
    <row r="3119" spans="2:2" x14ac:dyDescent="0.25">
      <c r="B3119" s="1"/>
    </row>
    <row r="3120" spans="2:2" x14ac:dyDescent="0.25">
      <c r="B3120" s="1"/>
    </row>
    <row r="3121" spans="2:2" x14ac:dyDescent="0.25">
      <c r="B3121" s="1"/>
    </row>
    <row r="3122" spans="2:2" x14ac:dyDescent="0.25">
      <c r="B3122" s="1"/>
    </row>
    <row r="3123" spans="2:2" x14ac:dyDescent="0.25">
      <c r="B3123" s="1"/>
    </row>
    <row r="3124" spans="2:2" x14ac:dyDescent="0.25">
      <c r="B3124" s="1"/>
    </row>
    <row r="3125" spans="2:2" x14ac:dyDescent="0.25">
      <c r="B3125" s="1"/>
    </row>
    <row r="3126" spans="2:2" x14ac:dyDescent="0.25">
      <c r="B3126" s="1"/>
    </row>
    <row r="3127" spans="2:2" x14ac:dyDescent="0.25">
      <c r="B3127" s="1"/>
    </row>
    <row r="3128" spans="2:2" x14ac:dyDescent="0.25">
      <c r="B3128" s="1"/>
    </row>
    <row r="3129" spans="2:2" x14ac:dyDescent="0.25">
      <c r="B3129" s="1"/>
    </row>
    <row r="3130" spans="2:2" x14ac:dyDescent="0.25">
      <c r="B3130" s="1"/>
    </row>
    <row r="3131" spans="2:2" x14ac:dyDescent="0.25">
      <c r="B3131" s="1"/>
    </row>
    <row r="3132" spans="2:2" x14ac:dyDescent="0.25">
      <c r="B3132" s="1"/>
    </row>
    <row r="3133" spans="2:2" x14ac:dyDescent="0.25">
      <c r="B3133" s="1"/>
    </row>
    <row r="3134" spans="2:2" x14ac:dyDescent="0.25">
      <c r="B3134" s="1"/>
    </row>
    <row r="3135" spans="2:2" x14ac:dyDescent="0.25">
      <c r="B3135" s="1"/>
    </row>
    <row r="3136" spans="2:2" x14ac:dyDescent="0.25">
      <c r="B3136" s="1"/>
    </row>
    <row r="3137" spans="2:2" x14ac:dyDescent="0.25">
      <c r="B3137" s="1"/>
    </row>
    <row r="3138" spans="2:2" x14ac:dyDescent="0.25">
      <c r="B3138" s="1"/>
    </row>
    <row r="3139" spans="2:2" x14ac:dyDescent="0.25">
      <c r="B3139" s="1"/>
    </row>
    <row r="3140" spans="2:2" x14ac:dyDescent="0.25">
      <c r="B3140" s="1"/>
    </row>
    <row r="3141" spans="2:2" x14ac:dyDescent="0.25">
      <c r="B3141" s="1"/>
    </row>
    <row r="3142" spans="2:2" x14ac:dyDescent="0.25">
      <c r="B3142" s="1"/>
    </row>
    <row r="3143" spans="2:2" x14ac:dyDescent="0.25">
      <c r="B3143" s="1"/>
    </row>
    <row r="3144" spans="2:2" x14ac:dyDescent="0.25">
      <c r="B3144" s="1"/>
    </row>
    <row r="3145" spans="2:2" x14ac:dyDescent="0.25">
      <c r="B3145" s="1"/>
    </row>
    <row r="3146" spans="2:2" x14ac:dyDescent="0.25">
      <c r="B3146" s="1"/>
    </row>
    <row r="3147" spans="2:2" x14ac:dyDescent="0.25">
      <c r="B3147" s="1"/>
    </row>
    <row r="3148" spans="2:2" x14ac:dyDescent="0.25">
      <c r="B3148" s="1"/>
    </row>
    <row r="3149" spans="2:2" x14ac:dyDescent="0.25">
      <c r="B3149" s="1"/>
    </row>
    <row r="3150" spans="2:2" x14ac:dyDescent="0.25">
      <c r="B3150" s="1"/>
    </row>
    <row r="3151" spans="2:2" x14ac:dyDescent="0.25">
      <c r="B3151" s="1"/>
    </row>
    <row r="3152" spans="2:2" x14ac:dyDescent="0.25">
      <c r="B3152" s="1"/>
    </row>
    <row r="3153" spans="2:2" x14ac:dyDescent="0.25">
      <c r="B3153" s="1"/>
    </row>
    <row r="3154" spans="2:2" x14ac:dyDescent="0.25">
      <c r="B3154" s="1"/>
    </row>
    <row r="3155" spans="2:2" x14ac:dyDescent="0.25">
      <c r="B3155" s="1"/>
    </row>
    <row r="3156" spans="2:2" x14ac:dyDescent="0.25">
      <c r="B3156" s="1"/>
    </row>
    <row r="3157" spans="2:2" x14ac:dyDescent="0.25">
      <c r="B3157" s="1"/>
    </row>
    <row r="3158" spans="2:2" x14ac:dyDescent="0.25">
      <c r="B3158" s="1"/>
    </row>
    <row r="3159" spans="2:2" x14ac:dyDescent="0.25">
      <c r="B3159" s="1"/>
    </row>
    <row r="3160" spans="2:2" x14ac:dyDescent="0.25">
      <c r="B3160" s="1"/>
    </row>
    <row r="3161" spans="2:2" x14ac:dyDescent="0.25">
      <c r="B3161" s="1"/>
    </row>
    <row r="3162" spans="2:2" x14ac:dyDescent="0.25">
      <c r="B3162" s="1"/>
    </row>
    <row r="3163" spans="2:2" x14ac:dyDescent="0.25">
      <c r="B3163" s="1"/>
    </row>
    <row r="3164" spans="2:2" x14ac:dyDescent="0.25">
      <c r="B3164" s="1"/>
    </row>
    <row r="3165" spans="2:2" x14ac:dyDescent="0.25">
      <c r="B3165" s="1"/>
    </row>
    <row r="3166" spans="2:2" x14ac:dyDescent="0.25">
      <c r="B3166" s="1"/>
    </row>
    <row r="3167" spans="2:2" x14ac:dyDescent="0.25">
      <c r="B3167" s="1"/>
    </row>
    <row r="3168" spans="2:2" x14ac:dyDescent="0.25">
      <c r="B3168" s="1"/>
    </row>
    <row r="3169" spans="2:2" x14ac:dyDescent="0.25">
      <c r="B3169" s="1"/>
    </row>
    <row r="3170" spans="2:2" x14ac:dyDescent="0.25">
      <c r="B3170" s="1"/>
    </row>
    <row r="3171" spans="2:2" x14ac:dyDescent="0.25">
      <c r="B3171" s="1"/>
    </row>
    <row r="3172" spans="2:2" x14ac:dyDescent="0.25">
      <c r="B3172" s="1"/>
    </row>
    <row r="3173" spans="2:2" x14ac:dyDescent="0.25">
      <c r="B3173" s="1"/>
    </row>
    <row r="3174" spans="2:2" x14ac:dyDescent="0.25">
      <c r="B3174" s="1"/>
    </row>
    <row r="3175" spans="2:2" x14ac:dyDescent="0.25">
      <c r="B3175" s="1"/>
    </row>
    <row r="3176" spans="2:2" x14ac:dyDescent="0.25">
      <c r="B3176" s="1"/>
    </row>
    <row r="3177" spans="2:2" x14ac:dyDescent="0.25">
      <c r="B3177" s="1"/>
    </row>
    <row r="3178" spans="2:2" x14ac:dyDescent="0.25">
      <c r="B3178" s="1"/>
    </row>
    <row r="3179" spans="2:2" x14ac:dyDescent="0.25">
      <c r="B3179" s="1"/>
    </row>
    <row r="3180" spans="2:2" x14ac:dyDescent="0.25">
      <c r="B3180" s="1"/>
    </row>
    <row r="3181" spans="2:2" x14ac:dyDescent="0.25">
      <c r="B3181" s="1"/>
    </row>
    <row r="3182" spans="2:2" x14ac:dyDescent="0.25">
      <c r="B3182" s="1"/>
    </row>
    <row r="3183" spans="2:2" x14ac:dyDescent="0.25">
      <c r="B3183" s="1"/>
    </row>
    <row r="3184" spans="2:2" x14ac:dyDescent="0.25">
      <c r="B3184" s="1"/>
    </row>
    <row r="3185" spans="2:2" x14ac:dyDescent="0.25">
      <c r="B3185" s="1"/>
    </row>
    <row r="3186" spans="2:2" x14ac:dyDescent="0.25">
      <c r="B3186" s="1"/>
    </row>
    <row r="3187" spans="2:2" x14ac:dyDescent="0.25">
      <c r="B3187" s="1"/>
    </row>
    <row r="3188" spans="2:2" x14ac:dyDescent="0.25">
      <c r="B3188" s="1"/>
    </row>
    <row r="3189" spans="2:2" x14ac:dyDescent="0.25">
      <c r="B3189" s="1"/>
    </row>
    <row r="3190" spans="2:2" x14ac:dyDescent="0.25">
      <c r="B3190" s="1"/>
    </row>
    <row r="3191" spans="2:2" x14ac:dyDescent="0.25">
      <c r="B3191" s="1"/>
    </row>
    <row r="3192" spans="2:2" x14ac:dyDescent="0.25">
      <c r="B3192" s="1"/>
    </row>
    <row r="3193" spans="2:2" x14ac:dyDescent="0.25">
      <c r="B3193" s="1"/>
    </row>
    <row r="3194" spans="2:2" x14ac:dyDescent="0.25">
      <c r="B3194" s="1"/>
    </row>
    <row r="3195" spans="2:2" x14ac:dyDescent="0.25">
      <c r="B3195" s="1"/>
    </row>
    <row r="3196" spans="2:2" x14ac:dyDescent="0.25">
      <c r="B3196" s="1"/>
    </row>
    <row r="3197" spans="2:2" x14ac:dyDescent="0.25">
      <c r="B3197" s="1"/>
    </row>
    <row r="3198" spans="2:2" x14ac:dyDescent="0.25">
      <c r="B3198" s="1"/>
    </row>
    <row r="3199" spans="2:2" x14ac:dyDescent="0.25">
      <c r="B3199" s="1"/>
    </row>
    <row r="3200" spans="2:2" x14ac:dyDescent="0.25">
      <c r="B3200" s="1"/>
    </row>
    <row r="3201" spans="2:2" x14ac:dyDescent="0.25">
      <c r="B3201" s="1"/>
    </row>
    <row r="3202" spans="2:2" x14ac:dyDescent="0.25">
      <c r="B3202" s="1"/>
    </row>
    <row r="3203" spans="2:2" x14ac:dyDescent="0.25">
      <c r="B3203" s="1"/>
    </row>
    <row r="3204" spans="2:2" x14ac:dyDescent="0.25">
      <c r="B3204" s="1"/>
    </row>
    <row r="3205" spans="2:2" x14ac:dyDescent="0.25">
      <c r="B3205" s="1"/>
    </row>
    <row r="3206" spans="2:2" x14ac:dyDescent="0.25">
      <c r="B3206" s="1"/>
    </row>
    <row r="3207" spans="2:2" x14ac:dyDescent="0.25">
      <c r="B3207" s="1"/>
    </row>
    <row r="3208" spans="2:2" x14ac:dyDescent="0.25">
      <c r="B3208" s="1"/>
    </row>
    <row r="3209" spans="2:2" x14ac:dyDescent="0.25">
      <c r="B3209" s="1"/>
    </row>
    <row r="3210" spans="2:2" x14ac:dyDescent="0.25">
      <c r="B3210" s="1"/>
    </row>
    <row r="3211" spans="2:2" x14ac:dyDescent="0.25">
      <c r="B3211" s="1"/>
    </row>
    <row r="3212" spans="2:2" x14ac:dyDescent="0.25">
      <c r="B3212" s="1"/>
    </row>
    <row r="3213" spans="2:2" x14ac:dyDescent="0.25">
      <c r="B3213" s="1"/>
    </row>
    <row r="3214" spans="2:2" x14ac:dyDescent="0.25">
      <c r="B3214" s="1"/>
    </row>
    <row r="3215" spans="2:2" x14ac:dyDescent="0.25">
      <c r="B3215" s="1"/>
    </row>
    <row r="3216" spans="2:2" x14ac:dyDescent="0.25">
      <c r="B3216" s="1"/>
    </row>
    <row r="3217" spans="2:2" x14ac:dyDescent="0.25">
      <c r="B3217" s="1"/>
    </row>
    <row r="3218" spans="2:2" x14ac:dyDescent="0.25">
      <c r="B3218" s="1"/>
    </row>
    <row r="3219" spans="2:2" x14ac:dyDescent="0.25">
      <c r="B3219" s="1"/>
    </row>
    <row r="3220" spans="2:2" x14ac:dyDescent="0.25">
      <c r="B3220" s="1"/>
    </row>
    <row r="3221" spans="2:2" x14ac:dyDescent="0.25">
      <c r="B3221" s="1"/>
    </row>
    <row r="3222" spans="2:2" x14ac:dyDescent="0.25">
      <c r="B3222" s="1"/>
    </row>
    <row r="3223" spans="2:2" x14ac:dyDescent="0.25">
      <c r="B3223" s="1"/>
    </row>
    <row r="3224" spans="2:2" x14ac:dyDescent="0.25">
      <c r="B3224" s="1"/>
    </row>
    <row r="3225" spans="2:2" x14ac:dyDescent="0.25">
      <c r="B3225" s="1"/>
    </row>
    <row r="3226" spans="2:2" x14ac:dyDescent="0.25">
      <c r="B3226" s="1"/>
    </row>
    <row r="3227" spans="2:2" x14ac:dyDescent="0.25">
      <c r="B3227" s="1"/>
    </row>
    <row r="3228" spans="2:2" x14ac:dyDescent="0.25">
      <c r="B3228" s="1"/>
    </row>
    <row r="3229" spans="2:2" x14ac:dyDescent="0.25">
      <c r="B3229" s="1"/>
    </row>
    <row r="3230" spans="2:2" x14ac:dyDescent="0.25">
      <c r="B3230" s="1"/>
    </row>
    <row r="3231" spans="2:2" x14ac:dyDescent="0.25">
      <c r="B3231" s="1"/>
    </row>
    <row r="3232" spans="2:2" x14ac:dyDescent="0.25">
      <c r="B3232" s="1"/>
    </row>
    <row r="3233" spans="2:2" x14ac:dyDescent="0.25">
      <c r="B3233" s="1"/>
    </row>
    <row r="3234" spans="2:2" x14ac:dyDescent="0.25">
      <c r="B3234" s="1"/>
    </row>
    <row r="3235" spans="2:2" x14ac:dyDescent="0.25">
      <c r="B3235" s="1"/>
    </row>
    <row r="3236" spans="2:2" x14ac:dyDescent="0.25">
      <c r="B3236" s="1"/>
    </row>
    <row r="3237" spans="2:2" x14ac:dyDescent="0.25">
      <c r="B3237" s="1"/>
    </row>
    <row r="3238" spans="2:2" x14ac:dyDescent="0.25">
      <c r="B3238" s="1"/>
    </row>
    <row r="3239" spans="2:2" x14ac:dyDescent="0.25">
      <c r="B3239" s="1"/>
    </row>
    <row r="3240" spans="2:2" x14ac:dyDescent="0.25">
      <c r="B3240" s="1"/>
    </row>
    <row r="3241" spans="2:2" x14ac:dyDescent="0.25">
      <c r="B3241" s="1"/>
    </row>
    <row r="3242" spans="2:2" x14ac:dyDescent="0.25">
      <c r="B3242" s="1"/>
    </row>
    <row r="3243" spans="2:2" x14ac:dyDescent="0.25">
      <c r="B3243" s="1"/>
    </row>
    <row r="3244" spans="2:2" x14ac:dyDescent="0.25">
      <c r="B3244" s="1"/>
    </row>
    <row r="3245" spans="2:2" x14ac:dyDescent="0.25">
      <c r="B3245" s="1"/>
    </row>
    <row r="3246" spans="2:2" x14ac:dyDescent="0.25">
      <c r="B3246" s="1"/>
    </row>
    <row r="3247" spans="2:2" x14ac:dyDescent="0.25">
      <c r="B3247" s="1"/>
    </row>
    <row r="3248" spans="2:2" x14ac:dyDescent="0.25">
      <c r="B3248" s="1"/>
    </row>
    <row r="3249" spans="2:2" x14ac:dyDescent="0.25">
      <c r="B3249" s="1"/>
    </row>
    <row r="3250" spans="2:2" x14ac:dyDescent="0.25">
      <c r="B3250" s="1"/>
    </row>
    <row r="3251" spans="2:2" x14ac:dyDescent="0.25">
      <c r="B3251" s="1"/>
    </row>
    <row r="3252" spans="2:2" x14ac:dyDescent="0.25">
      <c r="B3252" s="1"/>
    </row>
    <row r="3253" spans="2:2" x14ac:dyDescent="0.25">
      <c r="B3253" s="1"/>
    </row>
    <row r="3254" spans="2:2" x14ac:dyDescent="0.25">
      <c r="B3254" s="1"/>
    </row>
    <row r="3255" spans="2:2" x14ac:dyDescent="0.25">
      <c r="B3255" s="1"/>
    </row>
    <row r="3256" spans="2:2" x14ac:dyDescent="0.25">
      <c r="B3256" s="1"/>
    </row>
    <row r="3257" spans="2:2" x14ac:dyDescent="0.25">
      <c r="B3257" s="1"/>
    </row>
    <row r="3258" spans="2:2" x14ac:dyDescent="0.25">
      <c r="B3258" s="1"/>
    </row>
    <row r="3259" spans="2:2" x14ac:dyDescent="0.25">
      <c r="B3259" s="1"/>
    </row>
    <row r="3260" spans="2:2" x14ac:dyDescent="0.25">
      <c r="B3260" s="1"/>
    </row>
    <row r="3261" spans="2:2" x14ac:dyDescent="0.25">
      <c r="B3261" s="1"/>
    </row>
    <row r="3262" spans="2:2" x14ac:dyDescent="0.25">
      <c r="B3262" s="1"/>
    </row>
    <row r="3263" spans="2:2" x14ac:dyDescent="0.25">
      <c r="B3263" s="1"/>
    </row>
    <row r="3264" spans="2:2" x14ac:dyDescent="0.25">
      <c r="B3264" s="1"/>
    </row>
    <row r="3265" spans="2:2" x14ac:dyDescent="0.25">
      <c r="B3265" s="1"/>
    </row>
    <row r="3266" spans="2:2" x14ac:dyDescent="0.25">
      <c r="B3266" s="1"/>
    </row>
    <row r="3267" spans="2:2" x14ac:dyDescent="0.25">
      <c r="B3267" s="1"/>
    </row>
    <row r="3268" spans="2:2" x14ac:dyDescent="0.25">
      <c r="B3268" s="1"/>
    </row>
    <row r="3269" spans="2:2" x14ac:dyDescent="0.25">
      <c r="B3269" s="1"/>
    </row>
    <row r="3270" spans="2:2" x14ac:dyDescent="0.25">
      <c r="B3270" s="1"/>
    </row>
    <row r="3271" spans="2:2" x14ac:dyDescent="0.25">
      <c r="B3271" s="1"/>
    </row>
    <row r="3272" spans="2:2" x14ac:dyDescent="0.25">
      <c r="B3272" s="1"/>
    </row>
    <row r="3273" spans="2:2" x14ac:dyDescent="0.25">
      <c r="B3273" s="1"/>
    </row>
    <row r="3274" spans="2:2" x14ac:dyDescent="0.25">
      <c r="B3274" s="1"/>
    </row>
    <row r="3275" spans="2:2" x14ac:dyDescent="0.25">
      <c r="B3275" s="1"/>
    </row>
    <row r="3276" spans="2:2" x14ac:dyDescent="0.25">
      <c r="B3276" s="1"/>
    </row>
    <row r="3277" spans="2:2" x14ac:dyDescent="0.25">
      <c r="B3277" s="1"/>
    </row>
    <row r="3278" spans="2:2" x14ac:dyDescent="0.25">
      <c r="B3278" s="1"/>
    </row>
    <row r="3279" spans="2:2" x14ac:dyDescent="0.25">
      <c r="B3279" s="1"/>
    </row>
    <row r="3280" spans="2:2" x14ac:dyDescent="0.25">
      <c r="B3280" s="1"/>
    </row>
    <row r="3281" spans="2:2" x14ac:dyDescent="0.25">
      <c r="B3281" s="1"/>
    </row>
    <row r="3282" spans="2:2" x14ac:dyDescent="0.25">
      <c r="B3282" s="1"/>
    </row>
    <row r="3283" spans="2:2" x14ac:dyDescent="0.25">
      <c r="B3283" s="1"/>
    </row>
    <row r="3284" spans="2:2" x14ac:dyDescent="0.25">
      <c r="B3284" s="1"/>
    </row>
    <row r="3285" spans="2:2" x14ac:dyDescent="0.25">
      <c r="B3285" s="1"/>
    </row>
    <row r="3286" spans="2:2" x14ac:dyDescent="0.25">
      <c r="B3286" s="1"/>
    </row>
    <row r="3287" spans="2:2" x14ac:dyDescent="0.25">
      <c r="B3287" s="1"/>
    </row>
    <row r="3288" spans="2:2" x14ac:dyDescent="0.25">
      <c r="B3288" s="1"/>
    </row>
    <row r="3289" spans="2:2" x14ac:dyDescent="0.25">
      <c r="B3289" s="1"/>
    </row>
    <row r="3290" spans="2:2" x14ac:dyDescent="0.25">
      <c r="B3290" s="1"/>
    </row>
    <row r="3291" spans="2:2" x14ac:dyDescent="0.25">
      <c r="B3291" s="1"/>
    </row>
    <row r="3292" spans="2:2" x14ac:dyDescent="0.25">
      <c r="B3292" s="1"/>
    </row>
    <row r="3293" spans="2:2" x14ac:dyDescent="0.25">
      <c r="B3293" s="1"/>
    </row>
    <row r="3294" spans="2:2" x14ac:dyDescent="0.25">
      <c r="B3294" s="1"/>
    </row>
    <row r="3295" spans="2:2" x14ac:dyDescent="0.25">
      <c r="B3295" s="1"/>
    </row>
    <row r="3296" spans="2:2" x14ac:dyDescent="0.25">
      <c r="B3296" s="1"/>
    </row>
    <row r="3297" spans="2:2" x14ac:dyDescent="0.25">
      <c r="B3297" s="1"/>
    </row>
    <row r="3298" spans="2:2" x14ac:dyDescent="0.25">
      <c r="B3298" s="1"/>
    </row>
    <row r="3299" spans="2:2" x14ac:dyDescent="0.25">
      <c r="B3299" s="1"/>
    </row>
    <row r="3300" spans="2:2" x14ac:dyDescent="0.25">
      <c r="B3300" s="1"/>
    </row>
    <row r="3301" spans="2:2" x14ac:dyDescent="0.25">
      <c r="B3301" s="1"/>
    </row>
    <row r="3302" spans="2:2" x14ac:dyDescent="0.25">
      <c r="B3302" s="1"/>
    </row>
    <row r="3303" spans="2:2" x14ac:dyDescent="0.25">
      <c r="B3303" s="1"/>
    </row>
    <row r="3304" spans="2:2" x14ac:dyDescent="0.25">
      <c r="B3304" s="1"/>
    </row>
    <row r="3305" spans="2:2" x14ac:dyDescent="0.25">
      <c r="B3305" s="1"/>
    </row>
    <row r="3306" spans="2:2" x14ac:dyDescent="0.25">
      <c r="B3306" s="1"/>
    </row>
    <row r="3307" spans="2:2" x14ac:dyDescent="0.25">
      <c r="B3307" s="1"/>
    </row>
    <row r="3308" spans="2:2" x14ac:dyDescent="0.25">
      <c r="B3308" s="1"/>
    </row>
    <row r="3309" spans="2:2" x14ac:dyDescent="0.25">
      <c r="B3309" s="1"/>
    </row>
    <row r="3310" spans="2:2" x14ac:dyDescent="0.25">
      <c r="B3310" s="1"/>
    </row>
    <row r="3311" spans="2:2" x14ac:dyDescent="0.25">
      <c r="B3311" s="1"/>
    </row>
    <row r="3312" spans="2:2" x14ac:dyDescent="0.25">
      <c r="B3312" s="1"/>
    </row>
    <row r="3313" spans="2:2" x14ac:dyDescent="0.25">
      <c r="B3313" s="1"/>
    </row>
    <row r="3314" spans="2:2" x14ac:dyDescent="0.25">
      <c r="B3314" s="1"/>
    </row>
    <row r="3315" spans="2:2" x14ac:dyDescent="0.25">
      <c r="B3315" s="1"/>
    </row>
    <row r="3316" spans="2:2" x14ac:dyDescent="0.25">
      <c r="B3316" s="1"/>
    </row>
    <row r="3317" spans="2:2" x14ac:dyDescent="0.25">
      <c r="B3317" s="1"/>
    </row>
    <row r="3318" spans="2:2" x14ac:dyDescent="0.25">
      <c r="B3318" s="1"/>
    </row>
    <row r="3319" spans="2:2" x14ac:dyDescent="0.25">
      <c r="B3319" s="1"/>
    </row>
    <row r="3320" spans="2:2" x14ac:dyDescent="0.25">
      <c r="B3320" s="1"/>
    </row>
    <row r="3321" spans="2:2" x14ac:dyDescent="0.25">
      <c r="B3321" s="1"/>
    </row>
    <row r="3322" spans="2:2" x14ac:dyDescent="0.25">
      <c r="B3322" s="1"/>
    </row>
    <row r="3323" spans="2:2" x14ac:dyDescent="0.25">
      <c r="B3323" s="1"/>
    </row>
    <row r="3324" spans="2:2" x14ac:dyDescent="0.25">
      <c r="B3324" s="1"/>
    </row>
    <row r="3325" spans="2:2" x14ac:dyDescent="0.25">
      <c r="B3325" s="1"/>
    </row>
    <row r="3326" spans="2:2" x14ac:dyDescent="0.25">
      <c r="B3326" s="1"/>
    </row>
    <row r="3327" spans="2:2" x14ac:dyDescent="0.25">
      <c r="B3327" s="1"/>
    </row>
    <row r="3328" spans="2:2" x14ac:dyDescent="0.25">
      <c r="B3328" s="1"/>
    </row>
    <row r="3329" spans="2:2" x14ac:dyDescent="0.25">
      <c r="B3329" s="1"/>
    </row>
    <row r="3330" spans="2:2" x14ac:dyDescent="0.25">
      <c r="B3330" s="1"/>
    </row>
    <row r="3331" spans="2:2" x14ac:dyDescent="0.25">
      <c r="B3331" s="1"/>
    </row>
    <row r="3332" spans="2:2" x14ac:dyDescent="0.25">
      <c r="B3332" s="1"/>
    </row>
    <row r="3333" spans="2:2" x14ac:dyDescent="0.25">
      <c r="B3333" s="1"/>
    </row>
    <row r="3334" spans="2:2" x14ac:dyDescent="0.25">
      <c r="B3334" s="1"/>
    </row>
    <row r="3335" spans="2:2" x14ac:dyDescent="0.25">
      <c r="B3335" s="1"/>
    </row>
    <row r="3336" spans="2:2" x14ac:dyDescent="0.25">
      <c r="B3336" s="1"/>
    </row>
    <row r="3337" spans="2:2" x14ac:dyDescent="0.25">
      <c r="B3337" s="1"/>
    </row>
    <row r="3338" spans="2:2" x14ac:dyDescent="0.25">
      <c r="B3338" s="1"/>
    </row>
    <row r="3339" spans="2:2" x14ac:dyDescent="0.25">
      <c r="B3339" s="1"/>
    </row>
    <row r="3340" spans="2:2" x14ac:dyDescent="0.25">
      <c r="B3340" s="1"/>
    </row>
    <row r="3341" spans="2:2" x14ac:dyDescent="0.25">
      <c r="B3341" s="1"/>
    </row>
    <row r="3342" spans="2:2" x14ac:dyDescent="0.25">
      <c r="B3342" s="1"/>
    </row>
    <row r="3343" spans="2:2" x14ac:dyDescent="0.25">
      <c r="B3343" s="1"/>
    </row>
    <row r="3344" spans="2:2" x14ac:dyDescent="0.25">
      <c r="B3344" s="1"/>
    </row>
    <row r="3345" spans="2:2" x14ac:dyDescent="0.25">
      <c r="B3345" s="1"/>
    </row>
    <row r="3346" spans="2:2" x14ac:dyDescent="0.25">
      <c r="B3346" s="1"/>
    </row>
    <row r="3347" spans="2:2" x14ac:dyDescent="0.25">
      <c r="B3347" s="1"/>
    </row>
    <row r="3348" spans="2:2" x14ac:dyDescent="0.25">
      <c r="B3348" s="1"/>
    </row>
    <row r="3349" spans="2:2" x14ac:dyDescent="0.25">
      <c r="B3349" s="1"/>
    </row>
    <row r="3350" spans="2:2" x14ac:dyDescent="0.25">
      <c r="B3350" s="1"/>
    </row>
    <row r="3351" spans="2:2" x14ac:dyDescent="0.25">
      <c r="B3351" s="1"/>
    </row>
    <row r="3352" spans="2:2" x14ac:dyDescent="0.25">
      <c r="B3352" s="1"/>
    </row>
    <row r="3353" spans="2:2" x14ac:dyDescent="0.25">
      <c r="B3353" s="1"/>
    </row>
    <row r="3354" spans="2:2" x14ac:dyDescent="0.25">
      <c r="B3354" s="1"/>
    </row>
    <row r="3355" spans="2:2" x14ac:dyDescent="0.25">
      <c r="B3355" s="1"/>
    </row>
    <row r="3356" spans="2:2" x14ac:dyDescent="0.25">
      <c r="B3356" s="1"/>
    </row>
    <row r="3357" spans="2:2" x14ac:dyDescent="0.25">
      <c r="B3357" s="1"/>
    </row>
    <row r="3358" spans="2:2" x14ac:dyDescent="0.25">
      <c r="B3358" s="1"/>
    </row>
    <row r="3359" spans="2:2" x14ac:dyDescent="0.25">
      <c r="B3359" s="1"/>
    </row>
    <row r="3360" spans="2:2" x14ac:dyDescent="0.25">
      <c r="B3360" s="1"/>
    </row>
    <row r="3361" spans="2:2" x14ac:dyDescent="0.25">
      <c r="B3361" s="1"/>
    </row>
    <row r="3362" spans="2:2" x14ac:dyDescent="0.25">
      <c r="B3362" s="1"/>
    </row>
    <row r="3363" spans="2:2" x14ac:dyDescent="0.25">
      <c r="B3363" s="1"/>
    </row>
    <row r="3364" spans="2:2" x14ac:dyDescent="0.25">
      <c r="B3364" s="1"/>
    </row>
    <row r="3365" spans="2:2" x14ac:dyDescent="0.25">
      <c r="B3365" s="1"/>
    </row>
    <row r="3366" spans="2:2" x14ac:dyDescent="0.25">
      <c r="B3366" s="1"/>
    </row>
    <row r="3367" spans="2:2" x14ac:dyDescent="0.25">
      <c r="B3367" s="1"/>
    </row>
    <row r="3368" spans="2:2" x14ac:dyDescent="0.25">
      <c r="B3368" s="1"/>
    </row>
    <row r="3369" spans="2:2" x14ac:dyDescent="0.25">
      <c r="B3369" s="1"/>
    </row>
    <row r="3370" spans="2:2" x14ac:dyDescent="0.25">
      <c r="B3370" s="1"/>
    </row>
    <row r="3371" spans="2:2" x14ac:dyDescent="0.25">
      <c r="B3371" s="1"/>
    </row>
    <row r="3372" spans="2:2" x14ac:dyDescent="0.25">
      <c r="B3372" s="1"/>
    </row>
    <row r="3373" spans="2:2" x14ac:dyDescent="0.25">
      <c r="B3373" s="1"/>
    </row>
    <row r="3374" spans="2:2" x14ac:dyDescent="0.25">
      <c r="B3374" s="1"/>
    </row>
    <row r="3375" spans="2:2" x14ac:dyDescent="0.25">
      <c r="B3375" s="1"/>
    </row>
    <row r="3376" spans="2:2" x14ac:dyDescent="0.25">
      <c r="B3376" s="1"/>
    </row>
    <row r="3377" spans="2:2" x14ac:dyDescent="0.25">
      <c r="B3377" s="1"/>
    </row>
    <row r="3378" spans="2:2" x14ac:dyDescent="0.25">
      <c r="B3378" s="1"/>
    </row>
    <row r="3379" spans="2:2" x14ac:dyDescent="0.25">
      <c r="B3379" s="1"/>
    </row>
    <row r="3380" spans="2:2" x14ac:dyDescent="0.25">
      <c r="B3380" s="1"/>
    </row>
    <row r="3381" spans="2:2" x14ac:dyDescent="0.25">
      <c r="B3381" s="1"/>
    </row>
    <row r="3382" spans="2:2" x14ac:dyDescent="0.25">
      <c r="B3382" s="1"/>
    </row>
    <row r="3383" spans="2:2" x14ac:dyDescent="0.25">
      <c r="B3383" s="1"/>
    </row>
    <row r="3384" spans="2:2" x14ac:dyDescent="0.25">
      <c r="B3384" s="1"/>
    </row>
    <row r="3385" spans="2:2" x14ac:dyDescent="0.25">
      <c r="B3385" s="1"/>
    </row>
    <row r="3386" spans="2:2" x14ac:dyDescent="0.25">
      <c r="B3386" s="1"/>
    </row>
    <row r="3387" spans="2:2" x14ac:dyDescent="0.25">
      <c r="B3387" s="1"/>
    </row>
    <row r="3388" spans="2:2" x14ac:dyDescent="0.25">
      <c r="B3388" s="1"/>
    </row>
    <row r="3389" spans="2:2" x14ac:dyDescent="0.25">
      <c r="B3389" s="1"/>
    </row>
    <row r="3390" spans="2:2" x14ac:dyDescent="0.25">
      <c r="B3390" s="1"/>
    </row>
    <row r="3391" spans="2:2" x14ac:dyDescent="0.25">
      <c r="B3391" s="1"/>
    </row>
    <row r="3392" spans="2:2" x14ac:dyDescent="0.25">
      <c r="B3392" s="1"/>
    </row>
    <row r="3393" spans="2:2" x14ac:dyDescent="0.25">
      <c r="B3393" s="1"/>
    </row>
    <row r="3394" spans="2:2" x14ac:dyDescent="0.25">
      <c r="B3394" s="1"/>
    </row>
    <row r="3395" spans="2:2" x14ac:dyDescent="0.25">
      <c r="B3395" s="1"/>
    </row>
    <row r="3396" spans="2:2" x14ac:dyDescent="0.25">
      <c r="B3396" s="1"/>
    </row>
    <row r="3397" spans="2:2" x14ac:dyDescent="0.25">
      <c r="B3397" s="1"/>
    </row>
    <row r="3398" spans="2:2" x14ac:dyDescent="0.25">
      <c r="B3398" s="1"/>
    </row>
    <row r="3399" spans="2:2" x14ac:dyDescent="0.25">
      <c r="B3399" s="1"/>
    </row>
    <row r="3400" spans="2:2" x14ac:dyDescent="0.25">
      <c r="B3400" s="1"/>
    </row>
    <row r="3401" spans="2:2" x14ac:dyDescent="0.25">
      <c r="B3401" s="1"/>
    </row>
    <row r="3402" spans="2:2" x14ac:dyDescent="0.25">
      <c r="B3402" s="1"/>
    </row>
    <row r="3403" spans="2:2" x14ac:dyDescent="0.25">
      <c r="B3403" s="1"/>
    </row>
    <row r="3404" spans="2:2" x14ac:dyDescent="0.25">
      <c r="B3404" s="1"/>
    </row>
    <row r="3405" spans="2:2" x14ac:dyDescent="0.25">
      <c r="B3405" s="1"/>
    </row>
    <row r="3406" spans="2:2" x14ac:dyDescent="0.25">
      <c r="B3406" s="1"/>
    </row>
    <row r="3407" spans="2:2" x14ac:dyDescent="0.25">
      <c r="B3407" s="1"/>
    </row>
    <row r="3408" spans="2:2" x14ac:dyDescent="0.25">
      <c r="B3408" s="1"/>
    </row>
    <row r="3409" spans="2:2" x14ac:dyDescent="0.25">
      <c r="B3409" s="1"/>
    </row>
    <row r="3410" spans="2:2" x14ac:dyDescent="0.25">
      <c r="B3410" s="1"/>
    </row>
    <row r="3411" spans="2:2" x14ac:dyDescent="0.25">
      <c r="B3411" s="1"/>
    </row>
    <row r="3412" spans="2:2" x14ac:dyDescent="0.25">
      <c r="B3412" s="1"/>
    </row>
    <row r="3413" spans="2:2" x14ac:dyDescent="0.25">
      <c r="B3413" s="1"/>
    </row>
    <row r="3414" spans="2:2" x14ac:dyDescent="0.25">
      <c r="B3414" s="1"/>
    </row>
    <row r="3415" spans="2:2" x14ac:dyDescent="0.25">
      <c r="B3415" s="1"/>
    </row>
    <row r="3416" spans="2:2" x14ac:dyDescent="0.25">
      <c r="B3416" s="1"/>
    </row>
    <row r="3417" spans="2:2" x14ac:dyDescent="0.25">
      <c r="B3417" s="1"/>
    </row>
    <row r="3418" spans="2:2" x14ac:dyDescent="0.25">
      <c r="B3418" s="1"/>
    </row>
    <row r="3419" spans="2:2" x14ac:dyDescent="0.25">
      <c r="B3419" s="1"/>
    </row>
    <row r="3420" spans="2:2" x14ac:dyDescent="0.25">
      <c r="B3420" s="1"/>
    </row>
    <row r="3421" spans="2:2" x14ac:dyDescent="0.25">
      <c r="B3421" s="1"/>
    </row>
    <row r="3422" spans="2:2" x14ac:dyDescent="0.25">
      <c r="B3422" s="1"/>
    </row>
    <row r="3423" spans="2:2" x14ac:dyDescent="0.25">
      <c r="B3423" s="1"/>
    </row>
    <row r="3424" spans="2:2" x14ac:dyDescent="0.25">
      <c r="B3424" s="1"/>
    </row>
    <row r="3425" spans="2:2" x14ac:dyDescent="0.25">
      <c r="B3425" s="1"/>
    </row>
    <row r="3426" spans="2:2" x14ac:dyDescent="0.25">
      <c r="B3426" s="1"/>
    </row>
    <row r="3427" spans="2:2" x14ac:dyDescent="0.25">
      <c r="B3427" s="1"/>
    </row>
    <row r="3428" spans="2:2" x14ac:dyDescent="0.25">
      <c r="B3428" s="1"/>
    </row>
    <row r="3429" spans="2:2" x14ac:dyDescent="0.25">
      <c r="B3429" s="1"/>
    </row>
    <row r="3430" spans="2:2" x14ac:dyDescent="0.25">
      <c r="B3430" s="1"/>
    </row>
    <row r="3431" spans="2:2" x14ac:dyDescent="0.25">
      <c r="B3431" s="1"/>
    </row>
    <row r="3432" spans="2:2" x14ac:dyDescent="0.25">
      <c r="B3432" s="1"/>
    </row>
    <row r="3433" spans="2:2" x14ac:dyDescent="0.25">
      <c r="B3433" s="1"/>
    </row>
    <row r="3434" spans="2:2" x14ac:dyDescent="0.25">
      <c r="B3434" s="1"/>
    </row>
    <row r="3435" spans="2:2" x14ac:dyDescent="0.25">
      <c r="B3435" s="1"/>
    </row>
    <row r="3436" spans="2:2" x14ac:dyDescent="0.25">
      <c r="B3436" s="1"/>
    </row>
    <row r="3437" spans="2:2" x14ac:dyDescent="0.25">
      <c r="B3437" s="1"/>
    </row>
    <row r="3438" spans="2:2" x14ac:dyDescent="0.25">
      <c r="B3438" s="1"/>
    </row>
    <row r="3439" spans="2:2" x14ac:dyDescent="0.25">
      <c r="B3439" s="1"/>
    </row>
    <row r="3440" spans="2:2" x14ac:dyDescent="0.25">
      <c r="B3440" s="1"/>
    </row>
    <row r="3441" spans="2:2" x14ac:dyDescent="0.25">
      <c r="B3441" s="1"/>
    </row>
    <row r="3442" spans="2:2" x14ac:dyDescent="0.25">
      <c r="B3442" s="1"/>
    </row>
    <row r="3443" spans="2:2" x14ac:dyDescent="0.25">
      <c r="B3443" s="1"/>
    </row>
    <row r="3444" spans="2:2" x14ac:dyDescent="0.25">
      <c r="B3444" s="1"/>
    </row>
    <row r="3445" spans="2:2" x14ac:dyDescent="0.25">
      <c r="B3445" s="1"/>
    </row>
    <row r="3446" spans="2:2" x14ac:dyDescent="0.25">
      <c r="B3446" s="1"/>
    </row>
    <row r="3447" spans="2:2" x14ac:dyDescent="0.25">
      <c r="B3447" s="1"/>
    </row>
    <row r="3448" spans="2:2" x14ac:dyDescent="0.25">
      <c r="B3448" s="1"/>
    </row>
    <row r="3449" spans="2:2" x14ac:dyDescent="0.25">
      <c r="B3449" s="1"/>
    </row>
    <row r="3450" spans="2:2" x14ac:dyDescent="0.25">
      <c r="B3450" s="1"/>
    </row>
    <row r="3451" spans="2:2" x14ac:dyDescent="0.25">
      <c r="B3451" s="1"/>
    </row>
    <row r="3452" spans="2:2" x14ac:dyDescent="0.25">
      <c r="B3452" s="1"/>
    </row>
    <row r="3453" spans="2:2" x14ac:dyDescent="0.25">
      <c r="B3453" s="1"/>
    </row>
    <row r="3454" spans="2:2" x14ac:dyDescent="0.25">
      <c r="B3454" s="1"/>
    </row>
    <row r="3455" spans="2:2" x14ac:dyDescent="0.25">
      <c r="B3455" s="1"/>
    </row>
    <row r="3456" spans="2:2" x14ac:dyDescent="0.25">
      <c r="B3456" s="1"/>
    </row>
    <row r="3457" spans="2:2" x14ac:dyDescent="0.25">
      <c r="B3457" s="1"/>
    </row>
    <row r="3458" spans="2:2" x14ac:dyDescent="0.25">
      <c r="B3458" s="1"/>
    </row>
    <row r="3459" spans="2:2" x14ac:dyDescent="0.25">
      <c r="B3459" s="1"/>
    </row>
    <row r="3460" spans="2:2" x14ac:dyDescent="0.25">
      <c r="B3460" s="1"/>
    </row>
    <row r="3461" spans="2:2" x14ac:dyDescent="0.25">
      <c r="B3461" s="1"/>
    </row>
    <row r="3462" spans="2:2" x14ac:dyDescent="0.25">
      <c r="B3462" s="1"/>
    </row>
    <row r="3463" spans="2:2" x14ac:dyDescent="0.25">
      <c r="B3463" s="1"/>
    </row>
    <row r="3464" spans="2:2" x14ac:dyDescent="0.25">
      <c r="B3464" s="1"/>
    </row>
    <row r="3465" spans="2:2" x14ac:dyDescent="0.25">
      <c r="B3465" s="1"/>
    </row>
    <row r="3466" spans="2:2" x14ac:dyDescent="0.25">
      <c r="B3466" s="1"/>
    </row>
    <row r="3467" spans="2:2" x14ac:dyDescent="0.25">
      <c r="B3467" s="1"/>
    </row>
    <row r="3468" spans="2:2" x14ac:dyDescent="0.25">
      <c r="B3468" s="1"/>
    </row>
    <row r="3469" spans="2:2" x14ac:dyDescent="0.25">
      <c r="B3469" s="1"/>
    </row>
    <row r="3470" spans="2:2" x14ac:dyDescent="0.25">
      <c r="B3470" s="1"/>
    </row>
    <row r="3471" spans="2:2" x14ac:dyDescent="0.25">
      <c r="B3471" s="1"/>
    </row>
    <row r="3472" spans="2:2" x14ac:dyDescent="0.25">
      <c r="B3472" s="1"/>
    </row>
    <row r="3473" spans="2:2" x14ac:dyDescent="0.25">
      <c r="B3473" s="1"/>
    </row>
    <row r="3474" spans="2:2" x14ac:dyDescent="0.25">
      <c r="B3474" s="1"/>
    </row>
    <row r="3475" spans="2:2" x14ac:dyDescent="0.25">
      <c r="B3475" s="1"/>
    </row>
    <row r="3476" spans="2:2" x14ac:dyDescent="0.25">
      <c r="B3476" s="1"/>
    </row>
    <row r="3477" spans="2:2" x14ac:dyDescent="0.25">
      <c r="B3477" s="1"/>
    </row>
    <row r="3478" spans="2:2" x14ac:dyDescent="0.25">
      <c r="B3478" s="1"/>
    </row>
    <row r="3479" spans="2:2" x14ac:dyDescent="0.25">
      <c r="B3479" s="1"/>
    </row>
    <row r="3480" spans="2:2" x14ac:dyDescent="0.25">
      <c r="B3480" s="1"/>
    </row>
    <row r="3481" spans="2:2" x14ac:dyDescent="0.25">
      <c r="B3481" s="1"/>
    </row>
    <row r="3482" spans="2:2" x14ac:dyDescent="0.25">
      <c r="B3482" s="1"/>
    </row>
    <row r="3483" spans="2:2" x14ac:dyDescent="0.25">
      <c r="B3483" s="1"/>
    </row>
    <row r="3484" spans="2:2" x14ac:dyDescent="0.25">
      <c r="B3484" s="1"/>
    </row>
    <row r="3485" spans="2:2" x14ac:dyDescent="0.25">
      <c r="B3485" s="1"/>
    </row>
    <row r="3486" spans="2:2" x14ac:dyDescent="0.25">
      <c r="B3486" s="1"/>
    </row>
    <row r="3487" spans="2:2" x14ac:dyDescent="0.25">
      <c r="B3487" s="1"/>
    </row>
    <row r="3488" spans="2:2" x14ac:dyDescent="0.25">
      <c r="B3488" s="1"/>
    </row>
    <row r="3489" spans="2:2" x14ac:dyDescent="0.25">
      <c r="B3489" s="1"/>
    </row>
    <row r="3490" spans="2:2" x14ac:dyDescent="0.25">
      <c r="B3490" s="1"/>
    </row>
    <row r="3491" spans="2:2" x14ac:dyDescent="0.25">
      <c r="B3491" s="1"/>
    </row>
    <row r="3492" spans="2:2" x14ac:dyDescent="0.25">
      <c r="B3492" s="1"/>
    </row>
    <row r="3493" spans="2:2" x14ac:dyDescent="0.25">
      <c r="B3493" s="1"/>
    </row>
    <row r="3494" spans="2:2" x14ac:dyDescent="0.25">
      <c r="B3494" s="1"/>
    </row>
    <row r="3495" spans="2:2" x14ac:dyDescent="0.25">
      <c r="B3495" s="1"/>
    </row>
    <row r="3496" spans="2:2" x14ac:dyDescent="0.25">
      <c r="B3496" s="1"/>
    </row>
    <row r="3497" spans="2:2" x14ac:dyDescent="0.25">
      <c r="B3497" s="1"/>
    </row>
    <row r="3498" spans="2:2" x14ac:dyDescent="0.25">
      <c r="B3498" s="1"/>
    </row>
    <row r="3499" spans="2:2" x14ac:dyDescent="0.25">
      <c r="B3499" s="1"/>
    </row>
    <row r="3500" spans="2:2" x14ac:dyDescent="0.25">
      <c r="B3500" s="1"/>
    </row>
    <row r="3501" spans="2:2" x14ac:dyDescent="0.25">
      <c r="B3501" s="1"/>
    </row>
    <row r="3502" spans="2:2" x14ac:dyDescent="0.25">
      <c r="B3502" s="1"/>
    </row>
    <row r="3503" spans="2:2" x14ac:dyDescent="0.25">
      <c r="B3503" s="1"/>
    </row>
    <row r="3504" spans="2:2" x14ac:dyDescent="0.25">
      <c r="B3504" s="1"/>
    </row>
    <row r="3505" spans="2:2" x14ac:dyDescent="0.25">
      <c r="B3505" s="1"/>
    </row>
    <row r="3506" spans="2:2" x14ac:dyDescent="0.25">
      <c r="B3506" s="1"/>
    </row>
    <row r="3507" spans="2:2" x14ac:dyDescent="0.25">
      <c r="B3507" s="1"/>
    </row>
    <row r="3508" spans="2:2" x14ac:dyDescent="0.25">
      <c r="B3508" s="1"/>
    </row>
    <row r="3509" spans="2:2" x14ac:dyDescent="0.25">
      <c r="B3509" s="1"/>
    </row>
    <row r="3510" spans="2:2" x14ac:dyDescent="0.25">
      <c r="B3510" s="1"/>
    </row>
    <row r="3511" spans="2:2" x14ac:dyDescent="0.25">
      <c r="B3511" s="1"/>
    </row>
    <row r="3512" spans="2:2" x14ac:dyDescent="0.25">
      <c r="B3512" s="1"/>
    </row>
    <row r="3513" spans="2:2" x14ac:dyDescent="0.25">
      <c r="B3513" s="1"/>
    </row>
    <row r="3514" spans="2:2" x14ac:dyDescent="0.25">
      <c r="B3514" s="1"/>
    </row>
    <row r="3515" spans="2:2" x14ac:dyDescent="0.25">
      <c r="B3515" s="1"/>
    </row>
    <row r="3516" spans="2:2" x14ac:dyDescent="0.25">
      <c r="B3516" s="1"/>
    </row>
    <row r="3517" spans="2:2" x14ac:dyDescent="0.25">
      <c r="B3517" s="1"/>
    </row>
    <row r="3518" spans="2:2" x14ac:dyDescent="0.25">
      <c r="B3518" s="1"/>
    </row>
    <row r="3519" spans="2:2" x14ac:dyDescent="0.25">
      <c r="B3519" s="1"/>
    </row>
    <row r="3520" spans="2:2" x14ac:dyDescent="0.25">
      <c r="B3520" s="1"/>
    </row>
    <row r="3521" spans="2:2" x14ac:dyDescent="0.25">
      <c r="B3521" s="1"/>
    </row>
    <row r="3522" spans="2:2" x14ac:dyDescent="0.25">
      <c r="B3522" s="1"/>
    </row>
    <row r="3523" spans="2:2" x14ac:dyDescent="0.25">
      <c r="B3523" s="1"/>
    </row>
    <row r="3524" spans="2:2" x14ac:dyDescent="0.25">
      <c r="B3524" s="1"/>
    </row>
    <row r="3525" spans="2:2" x14ac:dyDescent="0.25">
      <c r="B3525" s="1"/>
    </row>
    <row r="3526" spans="2:2" x14ac:dyDescent="0.25">
      <c r="B3526" s="1"/>
    </row>
    <row r="3527" spans="2:2" x14ac:dyDescent="0.25">
      <c r="B3527" s="1"/>
    </row>
    <row r="3528" spans="2:2" x14ac:dyDescent="0.25">
      <c r="B3528" s="1"/>
    </row>
    <row r="3529" spans="2:2" x14ac:dyDescent="0.25">
      <c r="B3529" s="1"/>
    </row>
    <row r="3530" spans="2:2" x14ac:dyDescent="0.25">
      <c r="B3530" s="1"/>
    </row>
    <row r="3531" spans="2:2" x14ac:dyDescent="0.25">
      <c r="B3531" s="1"/>
    </row>
    <row r="3532" spans="2:2" x14ac:dyDescent="0.25">
      <c r="B3532" s="1"/>
    </row>
    <row r="3533" spans="2:2" x14ac:dyDescent="0.25">
      <c r="B3533" s="1"/>
    </row>
    <row r="3534" spans="2:2" x14ac:dyDescent="0.25">
      <c r="B3534" s="1"/>
    </row>
    <row r="3535" spans="2:2" x14ac:dyDescent="0.25">
      <c r="B3535" s="1"/>
    </row>
    <row r="3536" spans="2:2" x14ac:dyDescent="0.25">
      <c r="B3536" s="1"/>
    </row>
    <row r="3537" spans="2:2" x14ac:dyDescent="0.25">
      <c r="B3537" s="1"/>
    </row>
    <row r="3538" spans="2:2" x14ac:dyDescent="0.25">
      <c r="B3538" s="1"/>
    </row>
    <row r="3539" spans="2:2" x14ac:dyDescent="0.25">
      <c r="B3539" s="1"/>
    </row>
    <row r="3540" spans="2:2" x14ac:dyDescent="0.25">
      <c r="B3540" s="1"/>
    </row>
    <row r="3541" spans="2:2" x14ac:dyDescent="0.25">
      <c r="B3541" s="1"/>
    </row>
    <row r="3542" spans="2:2" x14ac:dyDescent="0.25">
      <c r="B3542" s="1"/>
    </row>
    <row r="3543" spans="2:2" x14ac:dyDescent="0.25">
      <c r="B3543" s="1"/>
    </row>
    <row r="3544" spans="2:2" x14ac:dyDescent="0.25">
      <c r="B3544" s="1"/>
    </row>
    <row r="3545" spans="2:2" x14ac:dyDescent="0.25">
      <c r="B3545" s="1"/>
    </row>
    <row r="3546" spans="2:2" x14ac:dyDescent="0.25">
      <c r="B3546" s="1"/>
    </row>
    <row r="3547" spans="2:2" x14ac:dyDescent="0.25">
      <c r="B3547" s="1"/>
    </row>
    <row r="3548" spans="2:2" x14ac:dyDescent="0.25">
      <c r="B3548" s="1"/>
    </row>
    <row r="3549" spans="2:2" x14ac:dyDescent="0.25">
      <c r="B3549" s="1"/>
    </row>
    <row r="3550" spans="2:2" x14ac:dyDescent="0.25">
      <c r="B3550" s="1"/>
    </row>
    <row r="3551" spans="2:2" x14ac:dyDescent="0.25">
      <c r="B3551" s="1"/>
    </row>
    <row r="3552" spans="2:2" x14ac:dyDescent="0.25">
      <c r="B3552" s="1"/>
    </row>
    <row r="3553" spans="2:2" x14ac:dyDescent="0.25">
      <c r="B3553" s="1"/>
    </row>
    <row r="3554" spans="2:2" x14ac:dyDescent="0.25">
      <c r="B3554" s="1"/>
    </row>
    <row r="3555" spans="2:2" x14ac:dyDescent="0.25">
      <c r="B3555" s="1"/>
    </row>
    <row r="3556" spans="2:2" x14ac:dyDescent="0.25">
      <c r="B3556" s="1"/>
    </row>
    <row r="3557" spans="2:2" x14ac:dyDescent="0.25">
      <c r="B3557" s="1"/>
    </row>
    <row r="3558" spans="2:2" x14ac:dyDescent="0.25">
      <c r="B3558" s="1"/>
    </row>
    <row r="3559" spans="2:2" x14ac:dyDescent="0.25">
      <c r="B3559" s="1"/>
    </row>
    <row r="3560" spans="2:2" x14ac:dyDescent="0.25">
      <c r="B3560" s="1"/>
    </row>
    <row r="3561" spans="2:2" x14ac:dyDescent="0.25">
      <c r="B3561" s="1"/>
    </row>
    <row r="3562" spans="2:2" x14ac:dyDescent="0.25">
      <c r="B3562" s="1"/>
    </row>
    <row r="3563" spans="2:2" x14ac:dyDescent="0.25">
      <c r="B3563" s="1"/>
    </row>
    <row r="3564" spans="2:2" x14ac:dyDescent="0.25">
      <c r="B3564" s="1"/>
    </row>
    <row r="3565" spans="2:2" x14ac:dyDescent="0.25">
      <c r="B3565" s="1"/>
    </row>
    <row r="3566" spans="2:2" x14ac:dyDescent="0.25">
      <c r="B3566" s="1"/>
    </row>
    <row r="3567" spans="2:2" x14ac:dyDescent="0.25">
      <c r="B3567" s="1"/>
    </row>
    <row r="3568" spans="2:2" x14ac:dyDescent="0.25">
      <c r="B3568" s="1"/>
    </row>
    <row r="3569" spans="2:2" x14ac:dyDescent="0.25">
      <c r="B3569" s="1"/>
    </row>
    <row r="3570" spans="2:2" x14ac:dyDescent="0.25">
      <c r="B3570" s="1"/>
    </row>
    <row r="3571" spans="2:2" x14ac:dyDescent="0.25">
      <c r="B3571" s="1"/>
    </row>
    <row r="3572" spans="2:2" x14ac:dyDescent="0.25">
      <c r="B3572" s="1"/>
    </row>
    <row r="3573" spans="2:2" x14ac:dyDescent="0.25">
      <c r="B3573" s="1"/>
    </row>
    <row r="3574" spans="2:2" x14ac:dyDescent="0.25">
      <c r="B3574" s="1"/>
    </row>
    <row r="3575" spans="2:2" x14ac:dyDescent="0.25">
      <c r="B3575" s="1"/>
    </row>
    <row r="3576" spans="2:2" x14ac:dyDescent="0.25">
      <c r="B3576" s="1"/>
    </row>
    <row r="3577" spans="2:2" x14ac:dyDescent="0.25">
      <c r="B3577" s="1"/>
    </row>
    <row r="3578" spans="2:2" x14ac:dyDescent="0.25">
      <c r="B3578" s="1"/>
    </row>
    <row r="3579" spans="2:2" x14ac:dyDescent="0.25">
      <c r="B3579" s="1"/>
    </row>
    <row r="3580" spans="2:2" x14ac:dyDescent="0.25">
      <c r="B3580" s="1"/>
    </row>
    <row r="3581" spans="2:2" x14ac:dyDescent="0.25">
      <c r="B3581" s="1"/>
    </row>
    <row r="3582" spans="2:2" x14ac:dyDescent="0.25">
      <c r="B3582" s="1"/>
    </row>
    <row r="3583" spans="2:2" x14ac:dyDescent="0.25">
      <c r="B3583" s="1"/>
    </row>
    <row r="3584" spans="2:2" x14ac:dyDescent="0.25">
      <c r="B3584" s="1"/>
    </row>
    <row r="3585" spans="2:2" x14ac:dyDescent="0.25">
      <c r="B3585" s="1"/>
    </row>
    <row r="3586" spans="2:2" x14ac:dyDescent="0.25">
      <c r="B3586" s="1"/>
    </row>
    <row r="3587" spans="2:2" x14ac:dyDescent="0.25">
      <c r="B3587" s="1"/>
    </row>
    <row r="3588" spans="2:2" x14ac:dyDescent="0.25">
      <c r="B3588" s="1"/>
    </row>
    <row r="3589" spans="2:2" x14ac:dyDescent="0.25">
      <c r="B3589" s="1"/>
    </row>
    <row r="3590" spans="2:2" x14ac:dyDescent="0.25">
      <c r="B3590" s="1"/>
    </row>
    <row r="3591" spans="2:2" x14ac:dyDescent="0.25">
      <c r="B3591" s="1"/>
    </row>
    <row r="3592" spans="2:2" x14ac:dyDescent="0.25">
      <c r="B3592" s="1"/>
    </row>
    <row r="3593" spans="2:2" x14ac:dyDescent="0.25">
      <c r="B3593" s="1"/>
    </row>
    <row r="3594" spans="2:2" x14ac:dyDescent="0.25">
      <c r="B3594" s="1"/>
    </row>
    <row r="3595" spans="2:2" x14ac:dyDescent="0.25">
      <c r="B3595" s="1"/>
    </row>
    <row r="3596" spans="2:2" x14ac:dyDescent="0.25">
      <c r="B3596" s="1"/>
    </row>
    <row r="3597" spans="2:2" x14ac:dyDescent="0.25">
      <c r="B3597" s="1"/>
    </row>
    <row r="3598" spans="2:2" x14ac:dyDescent="0.25">
      <c r="B3598" s="1"/>
    </row>
    <row r="3599" spans="2:2" x14ac:dyDescent="0.25">
      <c r="B3599" s="1"/>
    </row>
    <row r="3600" spans="2:2" x14ac:dyDescent="0.25">
      <c r="B3600" s="1"/>
    </row>
    <row r="3601" spans="2:2" x14ac:dyDescent="0.25">
      <c r="B3601" s="1"/>
    </row>
    <row r="3602" spans="2:2" x14ac:dyDescent="0.25">
      <c r="B3602" s="1"/>
    </row>
    <row r="3603" spans="2:2" x14ac:dyDescent="0.25">
      <c r="B3603" s="1"/>
    </row>
    <row r="3604" spans="2:2" x14ac:dyDescent="0.25">
      <c r="B3604" s="1"/>
    </row>
    <row r="3605" spans="2:2" x14ac:dyDescent="0.25">
      <c r="B3605" s="1"/>
    </row>
    <row r="3606" spans="2:2" x14ac:dyDescent="0.25">
      <c r="B3606" s="1"/>
    </row>
    <row r="3607" spans="2:2" x14ac:dyDescent="0.25">
      <c r="B3607" s="1"/>
    </row>
    <row r="3608" spans="2:2" x14ac:dyDescent="0.25">
      <c r="B3608" s="1"/>
    </row>
    <row r="3609" spans="2:2" x14ac:dyDescent="0.25">
      <c r="B3609" s="1"/>
    </row>
    <row r="3610" spans="2:2" x14ac:dyDescent="0.25">
      <c r="B3610" s="1"/>
    </row>
    <row r="3611" spans="2:2" x14ac:dyDescent="0.25">
      <c r="B3611" s="1"/>
    </row>
    <row r="3612" spans="2:2" x14ac:dyDescent="0.25">
      <c r="B3612" s="1"/>
    </row>
    <row r="3613" spans="2:2" x14ac:dyDescent="0.25">
      <c r="B3613" s="1"/>
    </row>
    <row r="3614" spans="2:2" x14ac:dyDescent="0.25">
      <c r="B3614" s="1"/>
    </row>
    <row r="3615" spans="2:2" x14ac:dyDescent="0.25">
      <c r="B3615" s="1"/>
    </row>
    <row r="3616" spans="2:2" x14ac:dyDescent="0.25">
      <c r="B3616" s="1"/>
    </row>
    <row r="3617" spans="2:2" x14ac:dyDescent="0.25">
      <c r="B3617" s="1"/>
    </row>
    <row r="3618" spans="2:2" x14ac:dyDescent="0.25">
      <c r="B3618" s="1"/>
    </row>
    <row r="3619" spans="2:2" x14ac:dyDescent="0.25">
      <c r="B3619" s="1"/>
    </row>
    <row r="3620" spans="2:2" x14ac:dyDescent="0.25">
      <c r="B3620" s="1"/>
    </row>
    <row r="3621" spans="2:2" x14ac:dyDescent="0.25">
      <c r="B3621" s="1"/>
    </row>
    <row r="3622" spans="2:2" x14ac:dyDescent="0.25">
      <c r="B3622" s="1"/>
    </row>
    <row r="3623" spans="2:2" x14ac:dyDescent="0.25">
      <c r="B3623" s="1"/>
    </row>
    <row r="3624" spans="2:2" x14ac:dyDescent="0.25">
      <c r="B3624" s="1"/>
    </row>
    <row r="3625" spans="2:2" x14ac:dyDescent="0.25">
      <c r="B3625" s="1"/>
    </row>
    <row r="3626" spans="2:2" x14ac:dyDescent="0.25">
      <c r="B3626" s="1"/>
    </row>
    <row r="3627" spans="2:2" x14ac:dyDescent="0.25">
      <c r="B3627" s="1"/>
    </row>
    <row r="3628" spans="2:2" x14ac:dyDescent="0.25">
      <c r="B3628" s="1"/>
    </row>
    <row r="3629" spans="2:2" x14ac:dyDescent="0.25">
      <c r="B3629" s="1"/>
    </row>
    <row r="3630" spans="2:2" x14ac:dyDescent="0.25">
      <c r="B3630" s="1"/>
    </row>
    <row r="3631" spans="2:2" x14ac:dyDescent="0.25">
      <c r="B3631" s="1"/>
    </row>
    <row r="3632" spans="2:2" x14ac:dyDescent="0.25">
      <c r="B3632" s="1"/>
    </row>
    <row r="3633" spans="2:2" x14ac:dyDescent="0.25">
      <c r="B3633" s="1"/>
    </row>
    <row r="3634" spans="2:2" x14ac:dyDescent="0.25">
      <c r="B3634" s="1"/>
    </row>
    <row r="3635" spans="2:2" x14ac:dyDescent="0.25">
      <c r="B3635" s="1"/>
    </row>
    <row r="3636" spans="2:2" x14ac:dyDescent="0.25">
      <c r="B3636" s="1"/>
    </row>
    <row r="3637" spans="2:2" x14ac:dyDescent="0.25">
      <c r="B3637" s="1"/>
    </row>
    <row r="3638" spans="2:2" x14ac:dyDescent="0.25">
      <c r="B3638" s="1"/>
    </row>
    <row r="3639" spans="2:2" x14ac:dyDescent="0.25">
      <c r="B3639" s="1"/>
    </row>
    <row r="3640" spans="2:2" x14ac:dyDescent="0.25">
      <c r="B3640" s="1"/>
    </row>
    <row r="3641" spans="2:2" x14ac:dyDescent="0.25">
      <c r="B3641" s="1"/>
    </row>
    <row r="3642" spans="2:2" x14ac:dyDescent="0.25">
      <c r="B3642" s="1"/>
    </row>
    <row r="3643" spans="2:2" x14ac:dyDescent="0.25">
      <c r="B3643" s="1"/>
    </row>
    <row r="3644" spans="2:2" x14ac:dyDescent="0.25">
      <c r="B3644" s="1"/>
    </row>
    <row r="3645" spans="2:2" x14ac:dyDescent="0.25">
      <c r="B3645" s="1"/>
    </row>
    <row r="3646" spans="2:2" x14ac:dyDescent="0.25">
      <c r="B3646" s="1"/>
    </row>
    <row r="3647" spans="2:2" x14ac:dyDescent="0.25">
      <c r="B3647" s="1"/>
    </row>
    <row r="3648" spans="2:2" x14ac:dyDescent="0.25">
      <c r="B3648" s="1"/>
    </row>
    <row r="3649" spans="2:2" x14ac:dyDescent="0.25">
      <c r="B3649" s="1"/>
    </row>
    <row r="3650" spans="2:2" x14ac:dyDescent="0.25">
      <c r="B3650" s="1"/>
    </row>
    <row r="3651" spans="2:2" x14ac:dyDescent="0.25">
      <c r="B3651" s="1"/>
    </row>
    <row r="3652" spans="2:2" x14ac:dyDescent="0.25">
      <c r="B3652" s="1"/>
    </row>
    <row r="3653" spans="2:2" x14ac:dyDescent="0.25">
      <c r="B3653" s="1"/>
    </row>
    <row r="3654" spans="2:2" x14ac:dyDescent="0.25">
      <c r="B3654" s="1"/>
    </row>
    <row r="3655" spans="2:2" x14ac:dyDescent="0.25">
      <c r="B3655" s="1"/>
    </row>
    <row r="3656" spans="2:2" x14ac:dyDescent="0.25">
      <c r="B3656" s="1"/>
    </row>
    <row r="3657" spans="2:2" x14ac:dyDescent="0.25">
      <c r="B3657" s="1"/>
    </row>
    <row r="3658" spans="2:2" x14ac:dyDescent="0.25">
      <c r="B3658" s="1"/>
    </row>
    <row r="3659" spans="2:2" x14ac:dyDescent="0.25">
      <c r="B3659" s="1"/>
    </row>
    <row r="3660" spans="2:2" x14ac:dyDescent="0.25">
      <c r="B3660" s="1"/>
    </row>
    <row r="3661" spans="2:2" x14ac:dyDescent="0.25">
      <c r="B3661" s="1"/>
    </row>
    <row r="3662" spans="2:2" x14ac:dyDescent="0.25">
      <c r="B3662" s="1"/>
    </row>
    <row r="3663" spans="2:2" x14ac:dyDescent="0.25">
      <c r="B3663" s="1"/>
    </row>
    <row r="3664" spans="2:2" x14ac:dyDescent="0.25">
      <c r="B3664" s="1"/>
    </row>
    <row r="3665" spans="2:2" x14ac:dyDescent="0.25">
      <c r="B3665" s="1"/>
    </row>
    <row r="3666" spans="2:2" x14ac:dyDescent="0.25">
      <c r="B3666" s="1"/>
    </row>
    <row r="3667" spans="2:2" x14ac:dyDescent="0.25">
      <c r="B3667" s="1"/>
    </row>
    <row r="3668" spans="2:2" x14ac:dyDescent="0.25">
      <c r="B3668" s="1"/>
    </row>
    <row r="3669" spans="2:2" x14ac:dyDescent="0.25">
      <c r="B3669" s="1"/>
    </row>
    <row r="3670" spans="2:2" x14ac:dyDescent="0.25">
      <c r="B3670" s="1"/>
    </row>
    <row r="3671" spans="2:2" x14ac:dyDescent="0.25">
      <c r="B3671" s="1"/>
    </row>
    <row r="3672" spans="2:2" x14ac:dyDescent="0.25">
      <c r="B3672" s="1"/>
    </row>
    <row r="3673" spans="2:2" x14ac:dyDescent="0.25">
      <c r="B3673" s="1"/>
    </row>
    <row r="3674" spans="2:2" x14ac:dyDescent="0.25">
      <c r="B3674" s="1"/>
    </row>
    <row r="3675" spans="2:2" x14ac:dyDescent="0.25">
      <c r="B3675" s="1"/>
    </row>
    <row r="3676" spans="2:2" x14ac:dyDescent="0.25">
      <c r="B3676" s="1"/>
    </row>
    <row r="3677" spans="2:2" x14ac:dyDescent="0.25">
      <c r="B3677" s="1"/>
    </row>
    <row r="3678" spans="2:2" x14ac:dyDescent="0.25">
      <c r="B3678" s="1"/>
    </row>
    <row r="3679" spans="2:2" x14ac:dyDescent="0.25">
      <c r="B3679" s="1"/>
    </row>
    <row r="3680" spans="2:2" x14ac:dyDescent="0.25">
      <c r="B3680" s="1"/>
    </row>
    <row r="3681" spans="2:2" x14ac:dyDescent="0.25">
      <c r="B3681" s="1"/>
    </row>
    <row r="3682" spans="2:2" x14ac:dyDescent="0.25">
      <c r="B3682" s="1"/>
    </row>
    <row r="3683" spans="2:2" x14ac:dyDescent="0.25">
      <c r="B3683" s="1"/>
    </row>
    <row r="3684" spans="2:2" x14ac:dyDescent="0.25">
      <c r="B3684" s="1"/>
    </row>
    <row r="3685" spans="2:2" x14ac:dyDescent="0.25">
      <c r="B3685" s="1"/>
    </row>
    <row r="3686" spans="2:2" x14ac:dyDescent="0.25">
      <c r="B3686" s="1"/>
    </row>
    <row r="3687" spans="2:2" x14ac:dyDescent="0.25">
      <c r="B3687" s="1"/>
    </row>
    <row r="3688" spans="2:2" x14ac:dyDescent="0.25">
      <c r="B3688" s="1"/>
    </row>
    <row r="3689" spans="2:2" x14ac:dyDescent="0.25">
      <c r="B3689" s="1"/>
    </row>
    <row r="3690" spans="2:2" x14ac:dyDescent="0.25">
      <c r="B3690" s="1"/>
    </row>
    <row r="3691" spans="2:2" x14ac:dyDescent="0.25">
      <c r="B3691" s="1"/>
    </row>
    <row r="3692" spans="2:2" x14ac:dyDescent="0.25">
      <c r="B3692" s="1"/>
    </row>
    <row r="3693" spans="2:2" x14ac:dyDescent="0.25">
      <c r="B3693" s="1"/>
    </row>
    <row r="3694" spans="2:2" x14ac:dyDescent="0.25">
      <c r="B3694" s="1"/>
    </row>
    <row r="3695" spans="2:2" x14ac:dyDescent="0.25">
      <c r="B3695" s="1"/>
    </row>
    <row r="3696" spans="2:2" x14ac:dyDescent="0.25">
      <c r="B3696" s="1"/>
    </row>
    <row r="3697" spans="2:2" x14ac:dyDescent="0.25">
      <c r="B3697" s="1"/>
    </row>
    <row r="3698" spans="2:2" x14ac:dyDescent="0.25">
      <c r="B3698" s="1"/>
    </row>
    <row r="3699" spans="2:2" x14ac:dyDescent="0.25">
      <c r="B3699" s="1"/>
    </row>
    <row r="3700" spans="2:2" x14ac:dyDescent="0.25">
      <c r="B3700" s="1"/>
    </row>
    <row r="3701" spans="2:2" x14ac:dyDescent="0.25">
      <c r="B3701" s="1"/>
    </row>
    <row r="3702" spans="2:2" x14ac:dyDescent="0.25">
      <c r="B3702" s="1"/>
    </row>
    <row r="3703" spans="2:2" x14ac:dyDescent="0.25">
      <c r="B3703" s="1"/>
    </row>
    <row r="3704" spans="2:2" x14ac:dyDescent="0.25">
      <c r="B3704" s="1"/>
    </row>
    <row r="3705" spans="2:2" x14ac:dyDescent="0.25">
      <c r="B3705" s="1"/>
    </row>
    <row r="3706" spans="2:2" x14ac:dyDescent="0.25">
      <c r="B3706" s="1"/>
    </row>
    <row r="3707" spans="2:2" x14ac:dyDescent="0.25">
      <c r="B3707" s="1"/>
    </row>
    <row r="3708" spans="2:2" x14ac:dyDescent="0.25">
      <c r="B3708" s="1"/>
    </row>
    <row r="3709" spans="2:2" x14ac:dyDescent="0.25">
      <c r="B3709" s="1"/>
    </row>
    <row r="3710" spans="2:2" x14ac:dyDescent="0.25">
      <c r="B3710" s="1"/>
    </row>
    <row r="3711" spans="2:2" x14ac:dyDescent="0.25">
      <c r="B3711" s="1"/>
    </row>
    <row r="3712" spans="2:2" x14ac:dyDescent="0.25">
      <c r="B3712" s="1"/>
    </row>
    <row r="3713" spans="2:2" x14ac:dyDescent="0.25">
      <c r="B3713" s="1"/>
    </row>
    <row r="3714" spans="2:2" x14ac:dyDescent="0.25">
      <c r="B3714" s="1"/>
    </row>
    <row r="3715" spans="2:2" x14ac:dyDescent="0.25">
      <c r="B3715" s="1"/>
    </row>
    <row r="3716" spans="2:2" x14ac:dyDescent="0.25">
      <c r="B3716" s="1"/>
    </row>
    <row r="3717" spans="2:2" x14ac:dyDescent="0.25">
      <c r="B3717" s="1"/>
    </row>
    <row r="3718" spans="2:2" x14ac:dyDescent="0.25">
      <c r="B3718" s="1"/>
    </row>
    <row r="3719" spans="2:2" x14ac:dyDescent="0.25">
      <c r="B3719" s="1"/>
    </row>
    <row r="3720" spans="2:2" x14ac:dyDescent="0.25">
      <c r="B3720" s="1"/>
    </row>
    <row r="3721" spans="2:2" x14ac:dyDescent="0.25">
      <c r="B3721" s="1"/>
    </row>
    <row r="3722" spans="2:2" x14ac:dyDescent="0.25">
      <c r="B3722" s="1"/>
    </row>
    <row r="3723" spans="2:2" x14ac:dyDescent="0.25">
      <c r="B3723" s="1"/>
    </row>
    <row r="3724" spans="2:2" x14ac:dyDescent="0.25">
      <c r="B3724" s="1"/>
    </row>
    <row r="3725" spans="2:2" x14ac:dyDescent="0.25">
      <c r="B3725" s="1"/>
    </row>
    <row r="3726" spans="2:2" x14ac:dyDescent="0.25">
      <c r="B3726" s="1"/>
    </row>
    <row r="3727" spans="2:2" x14ac:dyDescent="0.25">
      <c r="B3727" s="1"/>
    </row>
    <row r="3728" spans="2:2" x14ac:dyDescent="0.25">
      <c r="B3728" s="1"/>
    </row>
    <row r="3729" spans="2:2" x14ac:dyDescent="0.25">
      <c r="B3729" s="1"/>
    </row>
    <row r="3730" spans="2:2" x14ac:dyDescent="0.25">
      <c r="B3730" s="1"/>
    </row>
    <row r="3731" spans="2:2" x14ac:dyDescent="0.25">
      <c r="B3731" s="1"/>
    </row>
    <row r="3732" spans="2:2" x14ac:dyDescent="0.25">
      <c r="B3732" s="1"/>
    </row>
    <row r="3733" spans="2:2" x14ac:dyDescent="0.25">
      <c r="B3733" s="1"/>
    </row>
    <row r="3734" spans="2:2" x14ac:dyDescent="0.25">
      <c r="B3734" s="1"/>
    </row>
    <row r="3735" spans="2:2" x14ac:dyDescent="0.25">
      <c r="B3735" s="1"/>
    </row>
    <row r="3736" spans="2:2" x14ac:dyDescent="0.25">
      <c r="B3736" s="1"/>
    </row>
    <row r="3737" spans="2:2" x14ac:dyDescent="0.25">
      <c r="B3737" s="1"/>
    </row>
    <row r="3738" spans="2:2" x14ac:dyDescent="0.25">
      <c r="B3738" s="1"/>
    </row>
    <row r="3739" spans="2:2" x14ac:dyDescent="0.25">
      <c r="B3739" s="1"/>
    </row>
    <row r="3740" spans="2:2" x14ac:dyDescent="0.25">
      <c r="B3740" s="1"/>
    </row>
    <row r="3741" spans="2:2" x14ac:dyDescent="0.25">
      <c r="B3741" s="1"/>
    </row>
    <row r="3742" spans="2:2" x14ac:dyDescent="0.25">
      <c r="B3742" s="1"/>
    </row>
    <row r="3743" spans="2:2" x14ac:dyDescent="0.25">
      <c r="B3743" s="1"/>
    </row>
    <row r="3744" spans="2:2" x14ac:dyDescent="0.25">
      <c r="B3744" s="1"/>
    </row>
    <row r="3745" spans="2:2" x14ac:dyDescent="0.25">
      <c r="B3745" s="1"/>
    </row>
    <row r="3746" spans="2:2" x14ac:dyDescent="0.25">
      <c r="B3746" s="1"/>
    </row>
    <row r="3747" spans="2:2" x14ac:dyDescent="0.25">
      <c r="B3747" s="1"/>
    </row>
    <row r="3748" spans="2:2" x14ac:dyDescent="0.25">
      <c r="B3748" s="1"/>
    </row>
    <row r="3749" spans="2:2" x14ac:dyDescent="0.25">
      <c r="B3749" s="1"/>
    </row>
    <row r="3750" spans="2:2" x14ac:dyDescent="0.25">
      <c r="B3750" s="1"/>
    </row>
    <row r="3751" spans="2:2" x14ac:dyDescent="0.25">
      <c r="B3751" s="1"/>
    </row>
    <row r="3752" spans="2:2" x14ac:dyDescent="0.25">
      <c r="B3752" s="1"/>
    </row>
    <row r="3753" spans="2:2" x14ac:dyDescent="0.25">
      <c r="B3753" s="1"/>
    </row>
    <row r="3754" spans="2:2" x14ac:dyDescent="0.25">
      <c r="B3754" s="1"/>
    </row>
    <row r="3755" spans="2:2" x14ac:dyDescent="0.25">
      <c r="B3755" s="1"/>
    </row>
    <row r="3756" spans="2:2" x14ac:dyDescent="0.25">
      <c r="B3756" s="1"/>
    </row>
    <row r="3757" spans="2:2" x14ac:dyDescent="0.25">
      <c r="B3757" s="1"/>
    </row>
    <row r="3758" spans="2:2" x14ac:dyDescent="0.25">
      <c r="B3758" s="1"/>
    </row>
    <row r="3759" spans="2:2" x14ac:dyDescent="0.25">
      <c r="B3759" s="1"/>
    </row>
    <row r="3760" spans="2:2" x14ac:dyDescent="0.25">
      <c r="B3760" s="1"/>
    </row>
    <row r="3761" spans="2:2" x14ac:dyDescent="0.25">
      <c r="B3761" s="1"/>
    </row>
    <row r="3762" spans="2:2" x14ac:dyDescent="0.25">
      <c r="B3762" s="1"/>
    </row>
    <row r="3763" spans="2:2" x14ac:dyDescent="0.25">
      <c r="B3763" s="1"/>
    </row>
    <row r="3764" spans="2:2" x14ac:dyDescent="0.25">
      <c r="B3764" s="1"/>
    </row>
    <row r="3765" spans="2:2" x14ac:dyDescent="0.25">
      <c r="B3765" s="1"/>
    </row>
    <row r="3766" spans="2:2" x14ac:dyDescent="0.25">
      <c r="B3766" s="1"/>
    </row>
    <row r="3767" spans="2:2" x14ac:dyDescent="0.25">
      <c r="B3767" s="1"/>
    </row>
    <row r="3768" spans="2:2" x14ac:dyDescent="0.25">
      <c r="B3768" s="1"/>
    </row>
    <row r="3769" spans="2:2" x14ac:dyDescent="0.25">
      <c r="B3769" s="1"/>
    </row>
    <row r="3770" spans="2:2" x14ac:dyDescent="0.25">
      <c r="B3770" s="1"/>
    </row>
    <row r="3771" spans="2:2" x14ac:dyDescent="0.25">
      <c r="B3771" s="1"/>
    </row>
    <row r="3772" spans="2:2" x14ac:dyDescent="0.25">
      <c r="B3772" s="1"/>
    </row>
    <row r="3773" spans="2:2" x14ac:dyDescent="0.25">
      <c r="B3773" s="1"/>
    </row>
    <row r="3774" spans="2:2" x14ac:dyDescent="0.25">
      <c r="B3774" s="1"/>
    </row>
    <row r="3775" spans="2:2" x14ac:dyDescent="0.25">
      <c r="B3775" s="1"/>
    </row>
    <row r="3776" spans="2:2" x14ac:dyDescent="0.25">
      <c r="B3776" s="1"/>
    </row>
    <row r="3777" spans="2:2" x14ac:dyDescent="0.25">
      <c r="B3777" s="1"/>
    </row>
    <row r="3778" spans="2:2" x14ac:dyDescent="0.25">
      <c r="B3778" s="1"/>
    </row>
    <row r="3779" spans="2:2" x14ac:dyDescent="0.25">
      <c r="B3779" s="1"/>
    </row>
    <row r="3780" spans="2:2" x14ac:dyDescent="0.25">
      <c r="B3780" s="1"/>
    </row>
    <row r="3781" spans="2:2" x14ac:dyDescent="0.25">
      <c r="B3781" s="1"/>
    </row>
    <row r="3782" spans="2:2" x14ac:dyDescent="0.25">
      <c r="B3782" s="1"/>
    </row>
    <row r="3783" spans="2:2" x14ac:dyDescent="0.25">
      <c r="B3783" s="1"/>
    </row>
    <row r="3784" spans="2:2" x14ac:dyDescent="0.25">
      <c r="B3784" s="1"/>
    </row>
    <row r="3785" spans="2:2" x14ac:dyDescent="0.25">
      <c r="B3785" s="1"/>
    </row>
    <row r="3786" spans="2:2" x14ac:dyDescent="0.25">
      <c r="B3786" s="1"/>
    </row>
    <row r="3787" spans="2:2" x14ac:dyDescent="0.25">
      <c r="B3787" s="1"/>
    </row>
    <row r="3788" spans="2:2" x14ac:dyDescent="0.25">
      <c r="B3788" s="1"/>
    </row>
    <row r="3789" spans="2:2" x14ac:dyDescent="0.25">
      <c r="B3789" s="1"/>
    </row>
    <row r="3790" spans="2:2" x14ac:dyDescent="0.25">
      <c r="B3790" s="1"/>
    </row>
    <row r="3791" spans="2:2" x14ac:dyDescent="0.25">
      <c r="B3791" s="1"/>
    </row>
    <row r="3792" spans="2:2" x14ac:dyDescent="0.25">
      <c r="B3792" s="1"/>
    </row>
    <row r="3793" spans="2:2" x14ac:dyDescent="0.25">
      <c r="B3793" s="1"/>
    </row>
    <row r="3794" spans="2:2" x14ac:dyDescent="0.25">
      <c r="B3794" s="1"/>
    </row>
    <row r="3795" spans="2:2" x14ac:dyDescent="0.25">
      <c r="B3795" s="1"/>
    </row>
    <row r="3796" spans="2:2" x14ac:dyDescent="0.25">
      <c r="B3796" s="1"/>
    </row>
    <row r="3797" spans="2:2" x14ac:dyDescent="0.25">
      <c r="B3797" s="1"/>
    </row>
    <row r="3798" spans="2:2" x14ac:dyDescent="0.25">
      <c r="B3798" s="1"/>
    </row>
    <row r="3799" spans="2:2" x14ac:dyDescent="0.25">
      <c r="B3799" s="1"/>
    </row>
    <row r="3800" spans="2:2" x14ac:dyDescent="0.25">
      <c r="B3800" s="1"/>
    </row>
    <row r="3801" spans="2:2" x14ac:dyDescent="0.25">
      <c r="B3801" s="1"/>
    </row>
    <row r="3802" spans="2:2" x14ac:dyDescent="0.25">
      <c r="B3802" s="1"/>
    </row>
    <row r="3803" spans="2:2" x14ac:dyDescent="0.25">
      <c r="B3803" s="1"/>
    </row>
    <row r="3804" spans="2:2" x14ac:dyDescent="0.25">
      <c r="B3804" s="1"/>
    </row>
    <row r="3805" spans="2:2" x14ac:dyDescent="0.25">
      <c r="B3805" s="1"/>
    </row>
    <row r="3806" spans="2:2" x14ac:dyDescent="0.25">
      <c r="B3806" s="1"/>
    </row>
    <row r="3807" spans="2:2" x14ac:dyDescent="0.25">
      <c r="B3807" s="1"/>
    </row>
    <row r="3808" spans="2:2" x14ac:dyDescent="0.25">
      <c r="B3808" s="1"/>
    </row>
    <row r="3809" spans="2:2" x14ac:dyDescent="0.25">
      <c r="B3809" s="1"/>
    </row>
    <row r="3810" spans="2:2" x14ac:dyDescent="0.25">
      <c r="B3810" s="1"/>
    </row>
    <row r="3811" spans="2:2" x14ac:dyDescent="0.25">
      <c r="B3811" s="1"/>
    </row>
    <row r="3812" spans="2:2" x14ac:dyDescent="0.25">
      <c r="B3812" s="1"/>
    </row>
    <row r="3813" spans="2:2" x14ac:dyDescent="0.25">
      <c r="B3813" s="1"/>
    </row>
    <row r="3814" spans="2:2" x14ac:dyDescent="0.25">
      <c r="B3814" s="1"/>
    </row>
    <row r="3815" spans="2:2" x14ac:dyDescent="0.25">
      <c r="B3815" s="1"/>
    </row>
    <row r="3816" spans="2:2" x14ac:dyDescent="0.25">
      <c r="B3816" s="1"/>
    </row>
    <row r="3817" spans="2:2" x14ac:dyDescent="0.25">
      <c r="B3817" s="1"/>
    </row>
    <row r="3818" spans="2:2" x14ac:dyDescent="0.25">
      <c r="B3818" s="1"/>
    </row>
    <row r="3819" spans="2:2" x14ac:dyDescent="0.25">
      <c r="B3819" s="1"/>
    </row>
    <row r="3820" spans="2:2" x14ac:dyDescent="0.25">
      <c r="B3820" s="1"/>
    </row>
    <row r="3821" spans="2:2" x14ac:dyDescent="0.25">
      <c r="B3821" s="1"/>
    </row>
    <row r="3822" spans="2:2" x14ac:dyDescent="0.25">
      <c r="B3822" s="1"/>
    </row>
    <row r="3823" spans="2:2" x14ac:dyDescent="0.25">
      <c r="B3823" s="1"/>
    </row>
    <row r="3824" spans="2:2" x14ac:dyDescent="0.25">
      <c r="B3824" s="1"/>
    </row>
    <row r="3825" spans="2:2" x14ac:dyDescent="0.25">
      <c r="B3825" s="1"/>
    </row>
    <row r="3826" spans="2:2" x14ac:dyDescent="0.25">
      <c r="B3826" s="1"/>
    </row>
    <row r="3827" spans="2:2" x14ac:dyDescent="0.25">
      <c r="B3827" s="1"/>
    </row>
    <row r="3828" spans="2:2" x14ac:dyDescent="0.25">
      <c r="B3828" s="1"/>
    </row>
    <row r="3829" spans="2:2" x14ac:dyDescent="0.25">
      <c r="B3829" s="1"/>
    </row>
    <row r="3830" spans="2:2" x14ac:dyDescent="0.25">
      <c r="B3830" s="1"/>
    </row>
    <row r="3831" spans="2:2" x14ac:dyDescent="0.25">
      <c r="B3831" s="1"/>
    </row>
    <row r="3832" spans="2:2" x14ac:dyDescent="0.25">
      <c r="B3832" s="1"/>
    </row>
    <row r="3833" spans="2:2" x14ac:dyDescent="0.25">
      <c r="B3833" s="1"/>
    </row>
    <row r="3834" spans="2:2" x14ac:dyDescent="0.25">
      <c r="B3834" s="1"/>
    </row>
    <row r="3835" spans="2:2" x14ac:dyDescent="0.25">
      <c r="B3835" s="1"/>
    </row>
    <row r="3836" spans="2:2" x14ac:dyDescent="0.25">
      <c r="B3836" s="1"/>
    </row>
    <row r="3837" spans="2:2" x14ac:dyDescent="0.25">
      <c r="B3837" s="1"/>
    </row>
    <row r="3838" spans="2:2" x14ac:dyDescent="0.25">
      <c r="B3838" s="1"/>
    </row>
    <row r="3839" spans="2:2" x14ac:dyDescent="0.25">
      <c r="B3839" s="1"/>
    </row>
    <row r="3840" spans="2:2" x14ac:dyDescent="0.25">
      <c r="B3840" s="1"/>
    </row>
    <row r="3841" spans="2:2" x14ac:dyDescent="0.25">
      <c r="B3841" s="1"/>
    </row>
    <row r="3842" spans="2:2" x14ac:dyDescent="0.25">
      <c r="B3842" s="1"/>
    </row>
    <row r="3843" spans="2:2" x14ac:dyDescent="0.25">
      <c r="B3843" s="1"/>
    </row>
    <row r="3844" spans="2:2" x14ac:dyDescent="0.25">
      <c r="B3844" s="1"/>
    </row>
    <row r="3845" spans="2:2" x14ac:dyDescent="0.25">
      <c r="B3845" s="1"/>
    </row>
    <row r="3846" spans="2:2" x14ac:dyDescent="0.25">
      <c r="B3846" s="1"/>
    </row>
    <row r="3847" spans="2:2" x14ac:dyDescent="0.25">
      <c r="B3847" s="1"/>
    </row>
    <row r="3848" spans="2:2" x14ac:dyDescent="0.25">
      <c r="B3848" s="1"/>
    </row>
    <row r="3849" spans="2:2" x14ac:dyDescent="0.25">
      <c r="B3849" s="1"/>
    </row>
    <row r="3850" spans="2:2" x14ac:dyDescent="0.25">
      <c r="B3850" s="1"/>
    </row>
    <row r="3851" spans="2:2" x14ac:dyDescent="0.25">
      <c r="B3851" s="1"/>
    </row>
    <row r="3852" spans="2:2" x14ac:dyDescent="0.25">
      <c r="B3852" s="1"/>
    </row>
    <row r="3853" spans="2:2" x14ac:dyDescent="0.25">
      <c r="B3853" s="1"/>
    </row>
    <row r="3854" spans="2:2" x14ac:dyDescent="0.25">
      <c r="B3854" s="1"/>
    </row>
    <row r="3855" spans="2:2" x14ac:dyDescent="0.25">
      <c r="B3855" s="1"/>
    </row>
    <row r="3856" spans="2:2" x14ac:dyDescent="0.25">
      <c r="B3856" s="1"/>
    </row>
    <row r="3857" spans="2:2" x14ac:dyDescent="0.25">
      <c r="B3857" s="1"/>
    </row>
    <row r="3858" spans="2:2" x14ac:dyDescent="0.25">
      <c r="B3858" s="1"/>
    </row>
    <row r="3859" spans="2:2" x14ac:dyDescent="0.25">
      <c r="B3859" s="1"/>
    </row>
    <row r="3860" spans="2:2" x14ac:dyDescent="0.25">
      <c r="B3860" s="1"/>
    </row>
    <row r="3861" spans="2:2" x14ac:dyDescent="0.25">
      <c r="B3861" s="1"/>
    </row>
    <row r="3862" spans="2:2" x14ac:dyDescent="0.25">
      <c r="B3862" s="1"/>
    </row>
    <row r="3863" spans="2:2" x14ac:dyDescent="0.25">
      <c r="B3863" s="1"/>
    </row>
    <row r="3864" spans="2:2" x14ac:dyDescent="0.25">
      <c r="B3864" s="1"/>
    </row>
    <row r="3865" spans="2:2" x14ac:dyDescent="0.25">
      <c r="B3865" s="1"/>
    </row>
    <row r="3866" spans="2:2" x14ac:dyDescent="0.25">
      <c r="B3866" s="1"/>
    </row>
    <row r="3867" spans="2:2" x14ac:dyDescent="0.25">
      <c r="B3867" s="1"/>
    </row>
    <row r="3868" spans="2:2" x14ac:dyDescent="0.25">
      <c r="B3868" s="1"/>
    </row>
    <row r="3869" spans="2:2" x14ac:dyDescent="0.25">
      <c r="B3869" s="1"/>
    </row>
    <row r="3870" spans="2:2" x14ac:dyDescent="0.25">
      <c r="B3870" s="1"/>
    </row>
    <row r="3871" spans="2:2" x14ac:dyDescent="0.25">
      <c r="B3871" s="1"/>
    </row>
    <row r="3872" spans="2:2" x14ac:dyDescent="0.25">
      <c r="B3872" s="1"/>
    </row>
    <row r="3873" spans="2:2" x14ac:dyDescent="0.25">
      <c r="B3873" s="1"/>
    </row>
    <row r="3874" spans="2:2" x14ac:dyDescent="0.25">
      <c r="B3874" s="1"/>
    </row>
    <row r="3875" spans="2:2" x14ac:dyDescent="0.25">
      <c r="B3875" s="1"/>
    </row>
    <row r="3876" spans="2:2" x14ac:dyDescent="0.25">
      <c r="B3876" s="1"/>
    </row>
    <row r="3877" spans="2:2" x14ac:dyDescent="0.25">
      <c r="B3877" s="1"/>
    </row>
    <row r="3878" spans="2:2" x14ac:dyDescent="0.25">
      <c r="B3878" s="1"/>
    </row>
    <row r="3879" spans="2:2" x14ac:dyDescent="0.25">
      <c r="B3879" s="1"/>
    </row>
    <row r="3880" spans="2:2" x14ac:dyDescent="0.25">
      <c r="B3880" s="1"/>
    </row>
    <row r="3881" spans="2:2" x14ac:dyDescent="0.25">
      <c r="B3881" s="1"/>
    </row>
    <row r="3882" spans="2:2" x14ac:dyDescent="0.25">
      <c r="B3882" s="1"/>
    </row>
    <row r="3883" spans="2:2" x14ac:dyDescent="0.25">
      <c r="B3883" s="1"/>
    </row>
    <row r="3884" spans="2:2" x14ac:dyDescent="0.25">
      <c r="B3884" s="1"/>
    </row>
    <row r="3885" spans="2:2" x14ac:dyDescent="0.25">
      <c r="B3885" s="1"/>
    </row>
    <row r="3886" spans="2:2" x14ac:dyDescent="0.25">
      <c r="B3886" s="1"/>
    </row>
    <row r="3887" spans="2:2" x14ac:dyDescent="0.25">
      <c r="B3887" s="1"/>
    </row>
    <row r="3888" spans="2:2" x14ac:dyDescent="0.25">
      <c r="B3888" s="1"/>
    </row>
    <row r="3889" spans="2:2" x14ac:dyDescent="0.25">
      <c r="B3889" s="1"/>
    </row>
    <row r="3890" spans="2:2" x14ac:dyDescent="0.25">
      <c r="B3890" s="1"/>
    </row>
    <row r="3891" spans="2:2" x14ac:dyDescent="0.25">
      <c r="B3891" s="1"/>
    </row>
    <row r="3892" spans="2:2" x14ac:dyDescent="0.25">
      <c r="B3892" s="1"/>
    </row>
    <row r="3893" spans="2:2" x14ac:dyDescent="0.25">
      <c r="B3893" s="1"/>
    </row>
    <row r="3894" spans="2:2" x14ac:dyDescent="0.25">
      <c r="B3894" s="1"/>
    </row>
    <row r="3895" spans="2:2" x14ac:dyDescent="0.25">
      <c r="B3895" s="1"/>
    </row>
    <row r="3896" spans="2:2" x14ac:dyDescent="0.25">
      <c r="B3896" s="1"/>
    </row>
    <row r="3897" spans="2:2" x14ac:dyDescent="0.25">
      <c r="B3897" s="1"/>
    </row>
    <row r="3898" spans="2:2" x14ac:dyDescent="0.25">
      <c r="B3898" s="1"/>
    </row>
    <row r="3899" spans="2:2" x14ac:dyDescent="0.25">
      <c r="B3899" s="1"/>
    </row>
    <row r="3900" spans="2:2" x14ac:dyDescent="0.25">
      <c r="B3900" s="1"/>
    </row>
    <row r="3901" spans="2:2" x14ac:dyDescent="0.25">
      <c r="B3901" s="1"/>
    </row>
    <row r="3902" spans="2:2" x14ac:dyDescent="0.25">
      <c r="B3902" s="1"/>
    </row>
    <row r="3903" spans="2:2" x14ac:dyDescent="0.25">
      <c r="B3903" s="1"/>
    </row>
    <row r="3904" spans="2:2" x14ac:dyDescent="0.25">
      <c r="B3904" s="1"/>
    </row>
    <row r="3905" spans="2:2" x14ac:dyDescent="0.25">
      <c r="B3905" s="1"/>
    </row>
    <row r="3906" spans="2:2" x14ac:dyDescent="0.25">
      <c r="B3906" s="1"/>
    </row>
    <row r="3907" spans="2:2" x14ac:dyDescent="0.25">
      <c r="B3907" s="1"/>
    </row>
    <row r="3908" spans="2:2" x14ac:dyDescent="0.25">
      <c r="B3908" s="1"/>
    </row>
    <row r="3909" spans="2:2" x14ac:dyDescent="0.25">
      <c r="B3909" s="1"/>
    </row>
    <row r="3910" spans="2:2" x14ac:dyDescent="0.25">
      <c r="B3910" s="1"/>
    </row>
    <row r="3911" spans="2:2" x14ac:dyDescent="0.25">
      <c r="B3911" s="1"/>
    </row>
    <row r="3912" spans="2:2" x14ac:dyDescent="0.25">
      <c r="B3912" s="1"/>
    </row>
  </sheetData>
  <conditionalFormatting sqref="A1:XFD1048576">
    <cfRule type="expression" dxfId="0" priority="1">
      <formula>_xlfn.ISFORMULA(A1)</formula>
    </cfRule>
  </conditionalFormatting>
  <dataValidations count="1">
    <dataValidation type="list" allowBlank="1" showInputMessage="1" sqref="K2:K13" xr:uid="{0064D2B6-6EB7-4BEF-9EEA-3D8314516F7D}">
      <formula1>INDIRECT("discord_role[val]")</formula1>
    </dataValidation>
  </dataValidations>
  <pageMargins left="0.7" right="0.7" top="0.75" bottom="0.75" header="0.3" footer="0.3"/>
  <pageSetup paperSize="9" orientation="portrait" r:id="rId1"/>
  <tableParts count="7">
    <tablePart r:id="rId2"/>
    <tablePart r:id="rId3"/>
    <tablePart r:id="rId4"/>
    <tablePart r:id="rId5"/>
    <tablePart r:id="rId6"/>
    <tablePart r:id="rId7"/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HeadingPairs>
  <TitlesOfParts>
    <vt:vector size="14" baseType="lpstr">
      <vt:lpstr>Suivi</vt:lpstr>
      <vt:lpstr>Annuaire</vt:lpstr>
      <vt:lpstr>Statistiques saisons</vt:lpstr>
      <vt:lpstr>_parametres</vt:lpstr>
      <vt:lpstr>activites</vt:lpstr>
      <vt:lpstr>cotisant</vt:lpstr>
      <vt:lpstr>cotisant_saison_prec</vt:lpstr>
      <vt:lpstr>cotisation</vt:lpstr>
      <vt:lpstr>ecuyer</vt:lpstr>
      <vt:lpstr>nom_userfriendly</vt:lpstr>
      <vt:lpstr>presence</vt:lpstr>
      <vt:lpstr>saison_debut</vt:lpstr>
      <vt:lpstr>saison_en_cours</vt:lpstr>
      <vt:lpstr>saison_fin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2026-01-28T16:31:30Z</dcterms:created>
  <dcterms:modified xsi:type="dcterms:W3CDTF">2026-01-28T16:34:18Z</dcterms:modified>
</cp:coreProperties>
</file>